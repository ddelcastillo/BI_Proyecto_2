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im_sarmiento_uniandes_edu_co/Documents/BI/Proyecto1/"/>
    </mc:Choice>
  </mc:AlternateContent>
  <xr:revisionPtr revIDLastSave="414" documentId="13_ncr:1_{C0254EBE-17A3-4770-A07B-5CBD7E47BD51}" xr6:coauthVersionLast="45" xr6:coauthVersionMax="45" xr10:uidLastSave="{D66B6A88-92F0-47C8-B00D-AE1F194B2F8D}"/>
  <bookViews>
    <workbookView xWindow="-120" yWindow="-120" windowWidth="29040" windowHeight="14295" activeTab="3" xr2:uid="{68AAFFEF-A156-4BD0-9B33-14E43CC0E539}"/>
  </bookViews>
  <sheets>
    <sheet name="Evolución tráfico x Depto" sheetId="1" r:id="rId1"/>
    <sheet name="Evolución tráfico x peaje" sheetId="2" r:id="rId2"/>
    <sheet name="Evolución recaudo x Depto" sheetId="3" r:id="rId3"/>
    <sheet name="Evolución de recaudo x peaje" sheetId="4" r:id="rId4"/>
  </sheets>
  <definedNames>
    <definedName name="SegmentaciónDeDatos_Departamento">#N/A</definedName>
    <definedName name="SegmentaciónDeDatos_Departamento1">#N/A</definedName>
    <definedName name="SegmentaciónDeDatos_Nombre">#N/A</definedName>
    <definedName name="SegmentaciónDeDatos_Nombre1">#N/A</definedName>
  </definedNames>
  <calcPr calcId="191028"/>
  <pivotCaches>
    <pivotCache cacheId="270" r:id="rId5"/>
    <pivotCache cacheId="274" r:id="rId6"/>
    <pivotCache cacheId="296" r:id="rId7"/>
    <pivotCache cacheId="361" r:id="rId8"/>
  </pivotCaches>
  <extLst>
    <ext xmlns:x14="http://schemas.microsoft.com/office/spreadsheetml/2009/9/main" uri="{876F7934-8845-4945-9796-88D515C7AA90}">
      <x14:pivotCaches>
        <pivotCache cacheId="269" r:id="rId9"/>
        <pivotCache cacheId="273" r:id="rId10"/>
        <pivotCache cacheId="278" r:id="rId11"/>
        <pivotCache cacheId="314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B7EC6F-FE43-4A80-B9D5-A109A08AB300}" keepAlive="1" name="Conexión" type="5" refreshedVersion="6" background="1">
    <dbPr connection="Provider=XMLAProvider.data_source.1;User ID=Admin;Data Source=&quot;&quot;;Location=http://172.24.41.135:8080/pentaho/Xmla;Initial Catalog=proyecto2 v2;Mode=Read;Persist Security Info=True;Extended Properties=&quot;&quot;" command="proyecto2 v2" commandType="1"/>
    <olapPr sendLocale="1" rowDrillCount="1000"/>
  </connection>
</connections>
</file>

<file path=xl/sharedStrings.xml><?xml version="1.0" encoding="utf-8"?>
<sst xmlns="http://schemas.openxmlformats.org/spreadsheetml/2006/main" count="165" uniqueCount="29">
  <si>
    <t>Tráfico</t>
  </si>
  <si>
    <t>Etiquetas de columna</t>
  </si>
  <si>
    <t>Etiquetas de fila</t>
  </si>
  <si>
    <t>Atlantico</t>
  </si>
  <si>
    <t>Bolivar</t>
  </si>
  <si>
    <t>Boyaca</t>
  </si>
  <si>
    <t>Total general</t>
  </si>
  <si>
    <t>2016</t>
  </si>
  <si>
    <t>Enero</t>
  </si>
  <si>
    <t>Febreo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</si>
  <si>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</si>
  <si>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</si>
  <si>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</si>
  <si>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</si>
  <si>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</si>
  <si>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</si>
  <si>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</si>
  <si>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</si>
  <si>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</si>
  <si>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</si>
  <si>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2017</t>
  </si>
  <si>
    <t>2018</t>
  </si>
  <si>
    <t>Caldas</t>
  </si>
  <si>
    <t>BAYUNCA</t>
  </si>
  <si>
    <t>PUERTO COLOMBIA</t>
  </si>
  <si>
    <t>SAN ONOFRE</t>
  </si>
  <si>
    <t>TURBACO</t>
  </si>
  <si>
    <t>Recaudo</t>
  </si>
  <si>
    <t>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</si>
</sst>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##,###,###.#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1">
    <dxf>
      <font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microsoft.com/office/2007/relationships/slicerCache" Target="slicerCaches/slicerCache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microsoft.com/office/2007/relationships/slicerCache" Target="slicerCaches/slicerCache3.xml"/><Relationship Id="rId10" Type="http://schemas.openxmlformats.org/officeDocument/2006/relationships/pivotCacheDefinition" Target="pivotCache/pivotCacheDefinition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[proyecto2.xlsx]Evolución tráfico x Depto!TablaDinámica6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</a:t>
            </a:r>
            <a:r>
              <a:rPr lang="en-US" baseline="0"/>
              <a:t> del tráfico por departamento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'Evolución tráfico x Depto'!$B$3:$B$4</c:f>
              <c:strCache>
                <c:ptCount val="1"/>
                <c:pt idx="0">
                  <c:v>Atlantico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tráfico x Depto'!$A$5:$A$31</c:f>
              <c:multiLvlStrCache>
                <c:ptCount val="24"/>
                <c:lvl>
                  <c:pt idx="0">
                    <c:v>Enero</c:v>
                  </c:pt>
                  <c:pt idx="1">
                    <c:v>Febreo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</c:lvl>
                <c:lvl>
                  <c:pt idx="0">
                    <c:v>2016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'Evolución tráfico x Depto'!$B$5:$B$31</c:f>
              <c:numCache>
                <c:formatCode>General</c:formatCode>
                <c:ptCount val="24"/>
                <c:pt idx="0">
                  <c:v>571676</c:v>
                </c:pt>
                <c:pt idx="1">
                  <c:v>475876</c:v>
                </c:pt>
                <c:pt idx="2">
                  <c:v>537425</c:v>
                </c:pt>
                <c:pt idx="3">
                  <c:v>481857</c:v>
                </c:pt>
                <c:pt idx="4">
                  <c:v>515544</c:v>
                </c:pt>
                <c:pt idx="5">
                  <c:v>500580</c:v>
                </c:pt>
                <c:pt idx="6">
                  <c:v>535107</c:v>
                </c:pt>
                <c:pt idx="7">
                  <c:v>523034</c:v>
                </c:pt>
                <c:pt idx="8">
                  <c:v>495762</c:v>
                </c:pt>
                <c:pt idx="9">
                  <c:v>514350</c:v>
                </c:pt>
                <c:pt idx="10">
                  <c:v>494199</c:v>
                </c:pt>
                <c:pt idx="11">
                  <c:v>567050</c:v>
                </c:pt>
                <c:pt idx="12">
                  <c:v>584485</c:v>
                </c:pt>
                <c:pt idx="13">
                  <c:v>490646</c:v>
                </c:pt>
                <c:pt idx="14">
                  <c:v>563680</c:v>
                </c:pt>
                <c:pt idx="15">
                  <c:v>515773</c:v>
                </c:pt>
                <c:pt idx="16">
                  <c:v>518483</c:v>
                </c:pt>
                <c:pt idx="17">
                  <c:v>515399</c:v>
                </c:pt>
                <c:pt idx="18">
                  <c:v>644308</c:v>
                </c:pt>
                <c:pt idx="19">
                  <c:v>548612</c:v>
                </c:pt>
                <c:pt idx="20">
                  <c:v>519391</c:v>
                </c:pt>
                <c:pt idx="21">
                  <c:v>549824</c:v>
                </c:pt>
                <c:pt idx="22">
                  <c:v>545526</c:v>
                </c:pt>
                <c:pt idx="23">
                  <c:v>610745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2F-40E6-87C2-6F5C59BF7847}"/>
            </c:ext>
          </c:extLst>
        </c:ser>
        <c:ser>
          <c:idx val="1"/>
          <c:order val="1"/>
          <c:tx>
            <c:strRef>
              <c:f>'Evolución tráfico x Depto'!$C$3:$C$4</c:f>
              <c:strCache>
                <c:ptCount val="1"/>
                <c:pt idx="0">
                  <c:v>Bolivar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tráfico x Depto'!$A$5:$A$31</c:f>
              <c:multiLvlStrCache>
                <c:ptCount val="24"/>
                <c:lvl>
                  <c:pt idx="0">
                    <c:v>Enero</c:v>
                  </c:pt>
                  <c:pt idx="1">
                    <c:v>Febreo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</c:lvl>
                <c:lvl>
                  <c:pt idx="0">
                    <c:v>2016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'Evolución tráfico x Depto'!$C$5:$C$31</c:f>
              <c:numCache>
                <c:formatCode>General</c:formatCode>
                <c:ptCount val="24"/>
                <c:pt idx="0">
                  <c:v>1182267</c:v>
                </c:pt>
                <c:pt idx="1">
                  <c:v>993184</c:v>
                </c:pt>
                <c:pt idx="2">
                  <c:v>1123928</c:v>
                </c:pt>
                <c:pt idx="3">
                  <c:v>995677</c:v>
                </c:pt>
                <c:pt idx="4">
                  <c:v>1040151</c:v>
                </c:pt>
                <c:pt idx="5">
                  <c:v>1022923</c:v>
                </c:pt>
                <c:pt idx="6">
                  <c:v>1077390</c:v>
                </c:pt>
                <c:pt idx="7">
                  <c:v>1079987</c:v>
                </c:pt>
                <c:pt idx="8">
                  <c:v>1025854</c:v>
                </c:pt>
                <c:pt idx="9">
                  <c:v>1066487</c:v>
                </c:pt>
                <c:pt idx="10">
                  <c:v>1016427</c:v>
                </c:pt>
                <c:pt idx="11">
                  <c:v>1194813</c:v>
                </c:pt>
                <c:pt idx="12">
                  <c:v>1339324</c:v>
                </c:pt>
                <c:pt idx="13">
                  <c:v>1087203</c:v>
                </c:pt>
                <c:pt idx="14">
                  <c:v>1259549</c:v>
                </c:pt>
                <c:pt idx="15">
                  <c:v>1185140</c:v>
                </c:pt>
                <c:pt idx="16">
                  <c:v>1155919</c:v>
                </c:pt>
                <c:pt idx="17">
                  <c:v>1149420</c:v>
                </c:pt>
                <c:pt idx="18">
                  <c:v>1234741</c:v>
                </c:pt>
                <c:pt idx="19">
                  <c:v>1222785</c:v>
                </c:pt>
                <c:pt idx="20">
                  <c:v>1152819</c:v>
                </c:pt>
                <c:pt idx="21">
                  <c:v>1223010</c:v>
                </c:pt>
                <c:pt idx="22">
                  <c:v>1163234</c:v>
                </c:pt>
                <c:pt idx="23">
                  <c:v>1363192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2F-40E6-87C2-6F5C59BF7847}"/>
            </c:ext>
          </c:extLst>
        </c:ser>
        <c:ser>
          <c:idx val="2"/>
          <c:order val="2"/>
          <c:tx>
            <c:strRef>
              <c:f>'Evolución tráfico x Depto'!$D$3:$D$4</c:f>
              <c:strCache>
                <c:ptCount val="1"/>
                <c:pt idx="0">
                  <c:v>Boyaca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tráfico x Depto'!$A$5:$A$31</c:f>
              <c:multiLvlStrCache>
                <c:ptCount val="24"/>
                <c:lvl>
                  <c:pt idx="0">
                    <c:v>Enero</c:v>
                  </c:pt>
                  <c:pt idx="1">
                    <c:v>Febreo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</c:lvl>
                <c:lvl>
                  <c:pt idx="0">
                    <c:v>2016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'Evolución tráfico x Depto'!$D$5:$D$31</c:f>
              <c:numCache>
                <c:formatCode>General</c:formatCode>
                <c:ptCount val="24"/>
                <c:pt idx="0">
                  <c:v>573514</c:v>
                </c:pt>
                <c:pt idx="1">
                  <c:v>404530</c:v>
                </c:pt>
                <c:pt idx="2">
                  <c:v>502926</c:v>
                </c:pt>
                <c:pt idx="3">
                  <c:v>411777</c:v>
                </c:pt>
                <c:pt idx="4">
                  <c:v>464083</c:v>
                </c:pt>
                <c:pt idx="5">
                  <c:v>444573</c:v>
                </c:pt>
                <c:pt idx="6">
                  <c:v>397852</c:v>
                </c:pt>
                <c:pt idx="7">
                  <c:v>483870</c:v>
                </c:pt>
                <c:pt idx="8">
                  <c:v>431907</c:v>
                </c:pt>
                <c:pt idx="9">
                  <c:v>491685</c:v>
                </c:pt>
                <c:pt idx="10">
                  <c:v>469486</c:v>
                </c:pt>
                <c:pt idx="11">
                  <c:v>592887</c:v>
                </c:pt>
                <c:pt idx="12">
                  <c:v>460916</c:v>
                </c:pt>
                <c:pt idx="13">
                  <c:v>342177</c:v>
                </c:pt>
                <c:pt idx="14">
                  <c:v>410338</c:v>
                </c:pt>
                <c:pt idx="15">
                  <c:v>370527</c:v>
                </c:pt>
                <c:pt idx="16">
                  <c:v>385147</c:v>
                </c:pt>
                <c:pt idx="17">
                  <c:v>405375</c:v>
                </c:pt>
                <c:pt idx="18">
                  <c:v>428274</c:v>
                </c:pt>
                <c:pt idx="19">
                  <c:v>422143</c:v>
                </c:pt>
                <c:pt idx="20">
                  <c:v>388911</c:v>
                </c:pt>
                <c:pt idx="21">
                  <c:v>419903</c:v>
                </c:pt>
                <c:pt idx="22">
                  <c:v>417536</c:v>
                </c:pt>
                <c:pt idx="23">
                  <c:v>541955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2F-40E6-87C2-6F5C59BF7847}"/>
            </c:ext>
          </c:extLst>
        </c:ser>
        <c:ser>
          <c:idx val="3"/>
          <c:order val="3"/>
          <c:tx>
            <c:strRef>
              <c:f>'Evolución tráfico x Depto'!$E$3:$E$4</c:f>
              <c:strCache>
                <c:ptCount val="1"/>
                <c:pt idx="0">
                  <c:v>Caldas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tráfico x Depto'!$A$5:$A$31</c:f>
              <c:multiLvlStrCache>
                <c:ptCount val="24"/>
                <c:lvl>
                  <c:pt idx="0">
                    <c:v>Enero</c:v>
                  </c:pt>
                  <c:pt idx="1">
                    <c:v>Febreo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</c:lvl>
                <c:lvl>
                  <c:pt idx="0">
                    <c:v>2016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'Evolución tráfico x Depto'!$E$5:$E$31</c:f>
              <c:numCache>
                <c:formatCode>General</c:formatCode>
                <c:ptCount val="24"/>
                <c:pt idx="0">
                  <c:v>380979</c:v>
                </c:pt>
                <c:pt idx="1">
                  <c:v>276340</c:v>
                </c:pt>
                <c:pt idx="2">
                  <c:v>340077</c:v>
                </c:pt>
                <c:pt idx="3">
                  <c:v>273413</c:v>
                </c:pt>
                <c:pt idx="4">
                  <c:v>302355</c:v>
                </c:pt>
                <c:pt idx="5">
                  <c:v>287181</c:v>
                </c:pt>
                <c:pt idx="6">
                  <c:v>310545</c:v>
                </c:pt>
                <c:pt idx="7">
                  <c:v>394667</c:v>
                </c:pt>
                <c:pt idx="8">
                  <c:v>374831</c:v>
                </c:pt>
                <c:pt idx="9">
                  <c:v>333311</c:v>
                </c:pt>
                <c:pt idx="10">
                  <c:v>321097</c:v>
                </c:pt>
                <c:pt idx="11">
                  <c:v>374001</c:v>
                </c:pt>
                <c:pt idx="12">
                  <c:v>411520</c:v>
                </c:pt>
                <c:pt idx="13">
                  <c:v>305082</c:v>
                </c:pt>
                <c:pt idx="14">
                  <c:v>340053</c:v>
                </c:pt>
                <c:pt idx="15">
                  <c:v>312161</c:v>
                </c:pt>
                <c:pt idx="16">
                  <c:v>313131</c:v>
                </c:pt>
                <c:pt idx="17">
                  <c:v>308042</c:v>
                </c:pt>
                <c:pt idx="18">
                  <c:v>343344</c:v>
                </c:pt>
                <c:pt idx="19">
                  <c:v>338234</c:v>
                </c:pt>
                <c:pt idx="20">
                  <c:v>300174</c:v>
                </c:pt>
                <c:pt idx="21">
                  <c:v>332536</c:v>
                </c:pt>
                <c:pt idx="22">
                  <c:v>319192</c:v>
                </c:pt>
                <c:pt idx="23">
                  <c:v>374732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2F-40E6-87C2-6F5C59BF7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518064"/>
        <c:axId val="907289280"/>
      </c:lineChart>
      <c:catAx>
        <c:axId val="21045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289280"/>
        <c:crosses val="autoZero"/>
        <c:auto val="1"/>
        <c:lblAlgn val="ctr"/>
        <c:lblOffset val="100"/>
        <c:noMultiLvlLbl val="0"/>
      </c:catAx>
      <c:valAx>
        <c:axId val="90728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[proyecto2.xlsx]Evolución tráfico x peaje!TablaDinámica1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</a:t>
            </a:r>
            <a:r>
              <a:rPr lang="en-US" baseline="0"/>
              <a:t> de tráfico por peaje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'Evolución tráfico x peaje'!$B$3:$B$4</c:f>
              <c:strCache>
                <c:ptCount val="1"/>
                <c:pt idx="0">
                  <c:v>BAYUNCA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tráfico x peaje'!$A$5:$A$31</c:f>
              <c:multiLvlStrCache>
                <c:ptCount val="24"/>
                <c:lvl>
                  <c:pt idx="0">
                    <c:v>Enero</c:v>
                  </c:pt>
                  <c:pt idx="1">
                    <c:v>Febreo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</c:lvl>
                <c:lvl>
                  <c:pt idx="0">
                    <c:v>2016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'Evolución tráfico x peaje'!$B$5:$B$31</c:f>
              <c:numCache>
                <c:formatCode>General</c:formatCode>
                <c:ptCount val="24"/>
                <c:pt idx="0">
                  <c:v>116947</c:v>
                </c:pt>
                <c:pt idx="1">
                  <c:v>109844</c:v>
                </c:pt>
                <c:pt idx="2">
                  <c:v>119595</c:v>
                </c:pt>
                <c:pt idx="3">
                  <c:v>112577</c:v>
                </c:pt>
                <c:pt idx="4">
                  <c:v>111040</c:v>
                </c:pt>
                <c:pt idx="5">
                  <c:v>112857</c:v>
                </c:pt>
                <c:pt idx="6">
                  <c:v>115163</c:v>
                </c:pt>
                <c:pt idx="7">
                  <c:v>118406</c:v>
                </c:pt>
                <c:pt idx="8">
                  <c:v>114666</c:v>
                </c:pt>
                <c:pt idx="9">
                  <c:v>116168</c:v>
                </c:pt>
                <c:pt idx="10">
                  <c:v>114654</c:v>
                </c:pt>
                <c:pt idx="11">
                  <c:v>128365</c:v>
                </c:pt>
                <c:pt idx="12">
                  <c:v>114486</c:v>
                </c:pt>
                <c:pt idx="13">
                  <c:v>104573</c:v>
                </c:pt>
                <c:pt idx="14">
                  <c:v>114730</c:v>
                </c:pt>
                <c:pt idx="15">
                  <c:v>113303</c:v>
                </c:pt>
                <c:pt idx="16">
                  <c:v>110741</c:v>
                </c:pt>
                <c:pt idx="17">
                  <c:v>109256</c:v>
                </c:pt>
                <c:pt idx="18">
                  <c:v>112698</c:v>
                </c:pt>
                <c:pt idx="19">
                  <c:v>110426</c:v>
                </c:pt>
                <c:pt idx="20">
                  <c:v>104440</c:v>
                </c:pt>
                <c:pt idx="21">
                  <c:v>112553</c:v>
                </c:pt>
                <c:pt idx="22">
                  <c:v>107473</c:v>
                </c:pt>
                <c:pt idx="23">
                  <c:v>119082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37-4671-AA73-FADBFE7EF7A3}"/>
            </c:ext>
          </c:extLst>
        </c:ser>
        <c:ser>
          <c:idx val="1"/>
          <c:order val="1"/>
          <c:tx>
            <c:strRef>
              <c:f>'Evolución tráfico x peaje'!$C$3:$C$4</c:f>
              <c:strCache>
                <c:ptCount val="1"/>
                <c:pt idx="0">
                  <c:v>PUERTO COLOMBIA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tráfico x peaje'!$A$5:$A$31</c:f>
              <c:multiLvlStrCache>
                <c:ptCount val="24"/>
                <c:lvl>
                  <c:pt idx="0">
                    <c:v>Enero</c:v>
                  </c:pt>
                  <c:pt idx="1">
                    <c:v>Febreo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</c:lvl>
                <c:lvl>
                  <c:pt idx="0">
                    <c:v>2016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'Evolución tráfico x peaje'!$C$5:$C$31</c:f>
              <c:numCache>
                <c:formatCode>General</c:formatCode>
                <c:ptCount val="24"/>
                <c:pt idx="0">
                  <c:v>224862</c:v>
                </c:pt>
                <c:pt idx="1">
                  <c:v>161503</c:v>
                </c:pt>
                <c:pt idx="2">
                  <c:v>193958</c:v>
                </c:pt>
                <c:pt idx="3">
                  <c:v>149624</c:v>
                </c:pt>
                <c:pt idx="4">
                  <c:v>170995</c:v>
                </c:pt>
                <c:pt idx="5">
                  <c:v>168219</c:v>
                </c:pt>
                <c:pt idx="6">
                  <c:v>198028</c:v>
                </c:pt>
                <c:pt idx="7">
                  <c:v>173502</c:v>
                </c:pt>
                <c:pt idx="8">
                  <c:v>154640</c:v>
                </c:pt>
                <c:pt idx="9">
                  <c:v>170667</c:v>
                </c:pt>
                <c:pt idx="10">
                  <c:v>159063</c:v>
                </c:pt>
                <c:pt idx="11">
                  <c:v>189124</c:v>
                </c:pt>
                <c:pt idx="12">
                  <c:v>214778</c:v>
                </c:pt>
                <c:pt idx="13">
                  <c:v>159335</c:v>
                </c:pt>
                <c:pt idx="14">
                  <c:v>191824</c:v>
                </c:pt>
                <c:pt idx="15">
                  <c:v>157748</c:v>
                </c:pt>
                <c:pt idx="16">
                  <c:v>154361</c:v>
                </c:pt>
                <c:pt idx="17">
                  <c:v>176143</c:v>
                </c:pt>
                <c:pt idx="18">
                  <c:v>201883</c:v>
                </c:pt>
                <c:pt idx="19">
                  <c:v>184915</c:v>
                </c:pt>
                <c:pt idx="20">
                  <c:v>163986</c:v>
                </c:pt>
                <c:pt idx="21">
                  <c:v>179552</c:v>
                </c:pt>
                <c:pt idx="22">
                  <c:v>181665</c:v>
                </c:pt>
                <c:pt idx="23">
                  <c:v>220649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37-4671-AA73-FADBFE7EF7A3}"/>
            </c:ext>
          </c:extLst>
        </c:ser>
        <c:ser>
          <c:idx val="2"/>
          <c:order val="2"/>
          <c:tx>
            <c:strRef>
              <c:f>'Evolución tráfico x peaje'!$D$3:$D$4</c:f>
              <c:strCache>
                <c:ptCount val="1"/>
                <c:pt idx="0">
                  <c:v>SAN ONOFRE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tráfico x peaje'!$A$5:$A$31</c:f>
              <c:multiLvlStrCache>
                <c:ptCount val="24"/>
                <c:lvl>
                  <c:pt idx="0">
                    <c:v>Enero</c:v>
                  </c:pt>
                  <c:pt idx="1">
                    <c:v>Febreo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</c:lvl>
                <c:lvl>
                  <c:pt idx="0">
                    <c:v>2016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'Evolución tráfico x peaje'!$D$5:$D$31</c:f>
              <c:numCache>
                <c:formatCode>General</c:formatCode>
                <c:ptCount val="24"/>
                <c:pt idx="0">
                  <c:v>81662</c:v>
                </c:pt>
                <c:pt idx="1">
                  <c:v>57323</c:v>
                </c:pt>
                <c:pt idx="2">
                  <c:v>74191</c:v>
                </c:pt>
                <c:pt idx="3">
                  <c:v>54475</c:v>
                </c:pt>
                <c:pt idx="4">
                  <c:v>60597</c:v>
                </c:pt>
                <c:pt idx="5">
                  <c:v>59654</c:v>
                </c:pt>
                <c:pt idx="6">
                  <c:v>61792</c:v>
                </c:pt>
                <c:pt idx="7">
                  <c:v>61326</c:v>
                </c:pt>
                <c:pt idx="8">
                  <c:v>55921</c:v>
                </c:pt>
                <c:pt idx="9">
                  <c:v>56442</c:v>
                </c:pt>
                <c:pt idx="10">
                  <c:v>54804</c:v>
                </c:pt>
                <c:pt idx="11">
                  <c:v>66585</c:v>
                </c:pt>
                <c:pt idx="12">
                  <c:v>75748</c:v>
                </c:pt>
                <c:pt idx="13">
                  <c:v>51664</c:v>
                </c:pt>
                <c:pt idx="14">
                  <c:v>63951</c:v>
                </c:pt>
                <c:pt idx="15">
                  <c:v>60540</c:v>
                </c:pt>
                <c:pt idx="16">
                  <c:v>56138</c:v>
                </c:pt>
                <c:pt idx="17">
                  <c:v>58363</c:v>
                </c:pt>
                <c:pt idx="18">
                  <c:v>62393</c:v>
                </c:pt>
                <c:pt idx="19">
                  <c:v>58692</c:v>
                </c:pt>
                <c:pt idx="20">
                  <c:v>53250</c:v>
                </c:pt>
                <c:pt idx="21">
                  <c:v>57009</c:v>
                </c:pt>
                <c:pt idx="22">
                  <c:v>55632</c:v>
                </c:pt>
                <c:pt idx="23">
                  <c:v>71468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037-4671-AA73-FADBFE7EF7A3}"/>
            </c:ext>
          </c:extLst>
        </c:ser>
        <c:ser>
          <c:idx val="3"/>
          <c:order val="3"/>
          <c:tx>
            <c:strRef>
              <c:f>'Evolución tráfico x peaje'!$E$3:$E$4</c:f>
              <c:strCache>
                <c:ptCount val="1"/>
                <c:pt idx="0">
                  <c:v>TURBACO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tráfico x peaje'!$A$5:$A$31</c:f>
              <c:multiLvlStrCache>
                <c:ptCount val="24"/>
                <c:lvl>
                  <c:pt idx="0">
                    <c:v>Enero</c:v>
                  </c:pt>
                  <c:pt idx="1">
                    <c:v>Febreo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</c:lvl>
                <c:lvl>
                  <c:pt idx="0">
                    <c:v>2016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'Evolución tráfico x peaje'!$E$5:$E$31</c:f>
              <c:numCache>
                <c:formatCode>General</c:formatCode>
                <c:ptCount val="24"/>
                <c:pt idx="0">
                  <c:v>481638</c:v>
                </c:pt>
                <c:pt idx="1">
                  <c:v>440258</c:v>
                </c:pt>
                <c:pt idx="2">
                  <c:v>480517</c:v>
                </c:pt>
                <c:pt idx="3">
                  <c:v>455233</c:v>
                </c:pt>
                <c:pt idx="4">
                  <c:v>474672</c:v>
                </c:pt>
                <c:pt idx="5">
                  <c:v>457723</c:v>
                </c:pt>
                <c:pt idx="6">
                  <c:v>482933</c:v>
                </c:pt>
                <c:pt idx="7">
                  <c:v>481812</c:v>
                </c:pt>
                <c:pt idx="8">
                  <c:v>468534</c:v>
                </c:pt>
                <c:pt idx="9">
                  <c:v>471112</c:v>
                </c:pt>
                <c:pt idx="10">
                  <c:v>442580</c:v>
                </c:pt>
                <c:pt idx="11">
                  <c:v>516538</c:v>
                </c:pt>
                <c:pt idx="12">
                  <c:v>540918</c:v>
                </c:pt>
                <c:pt idx="13">
                  <c:v>478475</c:v>
                </c:pt>
                <c:pt idx="14">
                  <c:v>542173</c:v>
                </c:pt>
                <c:pt idx="15">
                  <c:v>521376</c:v>
                </c:pt>
                <c:pt idx="16">
                  <c:v>525838</c:v>
                </c:pt>
                <c:pt idx="17">
                  <c:v>506831</c:v>
                </c:pt>
                <c:pt idx="18">
                  <c:v>540190</c:v>
                </c:pt>
                <c:pt idx="19">
                  <c:v>543660</c:v>
                </c:pt>
                <c:pt idx="20">
                  <c:v>524894</c:v>
                </c:pt>
                <c:pt idx="21">
                  <c:v>538207</c:v>
                </c:pt>
                <c:pt idx="22">
                  <c:v>503249</c:v>
                </c:pt>
                <c:pt idx="23">
                  <c:v>578335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037-4671-AA73-FADBFE7EF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119536"/>
        <c:axId val="1878709200"/>
      </c:lineChart>
      <c:catAx>
        <c:axId val="7411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09200"/>
        <c:crosses val="autoZero"/>
        <c:auto val="1"/>
        <c:lblAlgn val="ctr"/>
        <c:lblOffset val="100"/>
        <c:noMultiLvlLbl val="0"/>
      </c:catAx>
      <c:valAx>
        <c:axId val="187870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[proyecto2.xlsx]Evolución recaudo x Depto!TablaDinámica2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</a:t>
            </a:r>
            <a:r>
              <a:rPr lang="en-US" baseline="0"/>
              <a:t> recaudo de peajes por departamento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'Evolución recaudo x Depto'!$B$1:$B$2</c:f>
              <c:strCache>
                <c:ptCount val="1"/>
                <c:pt idx="0">
                  <c:v>Antioquia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recaudo x Depto'!$A$3:$A$42</c:f>
              <c:multiLvlStrCache>
                <c:ptCount val="36"/>
                <c:lvl>
                  <c:pt idx="0">
                    <c:v>Abril</c:v>
                  </c:pt>
                  <c:pt idx="1">
                    <c:v>Agosto</c:v>
                  </c:pt>
                  <c:pt idx="2">
                    <c:v>Diciembre</c:v>
                  </c:pt>
                  <c:pt idx="3">
                    <c:v>Enero</c:v>
                  </c:pt>
                  <c:pt idx="4">
                    <c:v>Febreo</c:v>
                  </c:pt>
                  <c:pt idx="5">
                    <c:v>Julio</c:v>
                  </c:pt>
                  <c:pt idx="6">
                    <c:v>Junio</c:v>
                  </c:pt>
                  <c:pt idx="7">
                    <c:v>Marzo</c:v>
                  </c:pt>
                  <c:pt idx="8">
                    <c:v>Mayo</c:v>
                  </c:pt>
                  <c:pt idx="9">
                    <c:v>Noviembre</c:v>
                  </c:pt>
                  <c:pt idx="10">
                    <c:v>Octubre</c:v>
                  </c:pt>
                  <c:pt idx="11">
                    <c:v>Septiembre</c:v>
                  </c:pt>
                  <c:pt idx="12">
                    <c:v>Abril</c:v>
                  </c:pt>
                  <c:pt idx="13">
                    <c:v>Agosto</c:v>
                  </c:pt>
                  <c:pt idx="14">
                    <c:v>Diciembre</c:v>
                  </c:pt>
                  <c:pt idx="15">
                    <c:v>Enero</c:v>
                  </c:pt>
                  <c:pt idx="16">
                    <c:v>Febreo</c:v>
                  </c:pt>
                  <c:pt idx="17">
                    <c:v>Julio</c:v>
                  </c:pt>
                  <c:pt idx="18">
                    <c:v>Junio</c:v>
                  </c:pt>
                  <c:pt idx="19">
                    <c:v>Marzo</c:v>
                  </c:pt>
                  <c:pt idx="20">
                    <c:v>Mayo</c:v>
                  </c:pt>
                  <c:pt idx="21">
                    <c:v>Noviembre</c:v>
                  </c:pt>
                  <c:pt idx="22">
                    <c:v>Octubre</c:v>
                  </c:pt>
                  <c:pt idx="23">
                    <c:v>Septiembre</c:v>
                  </c:pt>
                  <c:pt idx="24">
                    <c:v>Abril</c:v>
                  </c:pt>
                  <c:pt idx="25">
                    <c:v>Agosto</c:v>
                  </c:pt>
                  <c:pt idx="26">
                    <c:v>Diciembre</c:v>
                  </c:pt>
                  <c:pt idx="27">
                    <c:v>Enero</c:v>
                  </c:pt>
                  <c:pt idx="28">
                    <c:v>Febreo</c:v>
                  </c:pt>
                  <c:pt idx="29">
                    <c:v>Julio</c:v>
                  </c:pt>
                  <c:pt idx="30">
                    <c:v>Junio</c:v>
                  </c:pt>
                  <c:pt idx="31">
                    <c:v>Marzo</c:v>
                  </c:pt>
                  <c:pt idx="32">
                    <c:v>Mayo</c:v>
                  </c:pt>
                  <c:pt idx="33">
                    <c:v>Noviembre</c:v>
                  </c:pt>
                  <c:pt idx="34">
                    <c:v>Octubre</c:v>
                  </c:pt>
                  <c:pt idx="35">
                    <c:v>Septiembre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'Evolución recaudo x Depto'!$B$3:$B$42</c:f>
              <c:numCache>
                <c:formatCode>###,###,###.#</c:formatCode>
                <c:ptCount val="36"/>
                <c:pt idx="0">
                  <c:v>14471657050</c:v>
                </c:pt>
                <c:pt idx="1">
                  <c:v>20683756550</c:v>
                </c:pt>
                <c:pt idx="2">
                  <c:v>21026465150</c:v>
                </c:pt>
                <c:pt idx="3">
                  <c:v>16587328750</c:v>
                </c:pt>
                <c:pt idx="4">
                  <c:v>14030714200</c:v>
                </c:pt>
                <c:pt idx="5">
                  <c:v>18679040650</c:v>
                </c:pt>
                <c:pt idx="6">
                  <c:v>15397044800</c:v>
                </c:pt>
                <c:pt idx="7">
                  <c:v>15722488850</c:v>
                </c:pt>
                <c:pt idx="8">
                  <c:v>15748365950</c:v>
                </c:pt>
                <c:pt idx="9">
                  <c:v>18311473700</c:v>
                </c:pt>
                <c:pt idx="10">
                  <c:v>19250896300</c:v>
                </c:pt>
                <c:pt idx="11">
                  <c:v>18724132050</c:v>
                </c:pt>
                <c:pt idx="12">
                  <c:v>20899053250</c:v>
                </c:pt>
                <c:pt idx="13">
                  <c:v>21862300250</c:v>
                </c:pt>
                <c:pt idx="14">
                  <c:v>24969133550</c:v>
                </c:pt>
                <c:pt idx="15">
                  <c:v>17662078250</c:v>
                </c:pt>
                <c:pt idx="16">
                  <c:v>19115440300</c:v>
                </c:pt>
                <c:pt idx="17">
                  <c:v>22313262250</c:v>
                </c:pt>
                <c:pt idx="18">
                  <c:v>21227609600</c:v>
                </c:pt>
                <c:pt idx="19">
                  <c:v>20396735400</c:v>
                </c:pt>
                <c:pt idx="20">
                  <c:v>20583325400</c:v>
                </c:pt>
                <c:pt idx="21">
                  <c:v>21773488150</c:v>
                </c:pt>
                <c:pt idx="22">
                  <c:v>21679937350</c:v>
                </c:pt>
                <c:pt idx="23">
                  <c:v>20086192050</c:v>
                </c:pt>
                <c:pt idx="24">
                  <c:v>21886725700</c:v>
                </c:pt>
                <c:pt idx="25">
                  <c:v>24294049600</c:v>
                </c:pt>
                <c:pt idx="26">
                  <c:v>23640140500</c:v>
                </c:pt>
                <c:pt idx="27">
                  <c:v>24691150050</c:v>
                </c:pt>
                <c:pt idx="28">
                  <c:v>20379970750</c:v>
                </c:pt>
                <c:pt idx="29">
                  <c:v>24355941300</c:v>
                </c:pt>
                <c:pt idx="30">
                  <c:v>24434997550</c:v>
                </c:pt>
                <c:pt idx="31">
                  <c:v>23445286300</c:v>
                </c:pt>
                <c:pt idx="32">
                  <c:v>21991629450</c:v>
                </c:pt>
                <c:pt idx="33">
                  <c:v>20550976150</c:v>
                </c:pt>
                <c:pt idx="34">
                  <c:v>20721663700</c:v>
                </c:pt>
                <c:pt idx="35">
                  <c:v>20079185350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13-4045-B27C-F26B9CA2562B}"/>
            </c:ext>
          </c:extLst>
        </c:ser>
        <c:ser>
          <c:idx val="1"/>
          <c:order val="1"/>
          <c:tx>
            <c:strRef>
              <c:f>'Evolución recaudo x Depto'!$C$1:$C$2</c:f>
              <c:strCache>
                <c:ptCount val="1"/>
                <c:pt idx="0">
                  <c:v>Atlantico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recaudo x Depto'!$A$3:$A$42</c:f>
              <c:multiLvlStrCache>
                <c:ptCount val="36"/>
                <c:lvl>
                  <c:pt idx="0">
                    <c:v>Abril</c:v>
                  </c:pt>
                  <c:pt idx="1">
                    <c:v>Agosto</c:v>
                  </c:pt>
                  <c:pt idx="2">
                    <c:v>Diciembre</c:v>
                  </c:pt>
                  <c:pt idx="3">
                    <c:v>Enero</c:v>
                  </c:pt>
                  <c:pt idx="4">
                    <c:v>Febreo</c:v>
                  </c:pt>
                  <c:pt idx="5">
                    <c:v>Julio</c:v>
                  </c:pt>
                  <c:pt idx="6">
                    <c:v>Junio</c:v>
                  </c:pt>
                  <c:pt idx="7">
                    <c:v>Marzo</c:v>
                  </c:pt>
                  <c:pt idx="8">
                    <c:v>Mayo</c:v>
                  </c:pt>
                  <c:pt idx="9">
                    <c:v>Noviembre</c:v>
                  </c:pt>
                  <c:pt idx="10">
                    <c:v>Octubre</c:v>
                  </c:pt>
                  <c:pt idx="11">
                    <c:v>Septiembre</c:v>
                  </c:pt>
                  <c:pt idx="12">
                    <c:v>Abril</c:v>
                  </c:pt>
                  <c:pt idx="13">
                    <c:v>Agosto</c:v>
                  </c:pt>
                  <c:pt idx="14">
                    <c:v>Diciembre</c:v>
                  </c:pt>
                  <c:pt idx="15">
                    <c:v>Enero</c:v>
                  </c:pt>
                  <c:pt idx="16">
                    <c:v>Febreo</c:v>
                  </c:pt>
                  <c:pt idx="17">
                    <c:v>Julio</c:v>
                  </c:pt>
                  <c:pt idx="18">
                    <c:v>Junio</c:v>
                  </c:pt>
                  <c:pt idx="19">
                    <c:v>Marzo</c:v>
                  </c:pt>
                  <c:pt idx="20">
                    <c:v>Mayo</c:v>
                  </c:pt>
                  <c:pt idx="21">
                    <c:v>Noviembre</c:v>
                  </c:pt>
                  <c:pt idx="22">
                    <c:v>Octubre</c:v>
                  </c:pt>
                  <c:pt idx="23">
                    <c:v>Septiembre</c:v>
                  </c:pt>
                  <c:pt idx="24">
                    <c:v>Abril</c:v>
                  </c:pt>
                  <c:pt idx="25">
                    <c:v>Agosto</c:v>
                  </c:pt>
                  <c:pt idx="26">
                    <c:v>Diciembre</c:v>
                  </c:pt>
                  <c:pt idx="27">
                    <c:v>Enero</c:v>
                  </c:pt>
                  <c:pt idx="28">
                    <c:v>Febreo</c:v>
                  </c:pt>
                  <c:pt idx="29">
                    <c:v>Julio</c:v>
                  </c:pt>
                  <c:pt idx="30">
                    <c:v>Junio</c:v>
                  </c:pt>
                  <c:pt idx="31">
                    <c:v>Marzo</c:v>
                  </c:pt>
                  <c:pt idx="32">
                    <c:v>Mayo</c:v>
                  </c:pt>
                  <c:pt idx="33">
                    <c:v>Noviembre</c:v>
                  </c:pt>
                  <c:pt idx="34">
                    <c:v>Octubre</c:v>
                  </c:pt>
                  <c:pt idx="35">
                    <c:v>Septiembre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'Evolución recaudo x Depto'!$C$3:$C$42</c:f>
              <c:numCache>
                <c:formatCode>###,###,###.#</c:formatCode>
                <c:ptCount val="36"/>
                <c:pt idx="0">
                  <c:v>3813664900</c:v>
                </c:pt>
                <c:pt idx="1">
                  <c:v>4198156300</c:v>
                </c:pt>
                <c:pt idx="2">
                  <c:v>4720044900</c:v>
                </c:pt>
                <c:pt idx="3">
                  <c:v>4401758500</c:v>
                </c:pt>
                <c:pt idx="4">
                  <c:v>3734654200</c:v>
                </c:pt>
                <c:pt idx="5">
                  <c:v>4251996100</c:v>
                </c:pt>
                <c:pt idx="6">
                  <c:v>3984331000</c:v>
                </c:pt>
                <c:pt idx="7">
                  <c:v>4249407100</c:v>
                </c:pt>
                <c:pt idx="8">
                  <c:v>4105227100</c:v>
                </c:pt>
                <c:pt idx="9">
                  <c:v>3943629700</c:v>
                </c:pt>
                <c:pt idx="10">
                  <c:v>4138187800</c:v>
                </c:pt>
                <c:pt idx="11">
                  <c:v>3968795400</c:v>
                </c:pt>
                <c:pt idx="12">
                  <c:v>4590199600</c:v>
                </c:pt>
                <c:pt idx="13">
                  <c:v>4465379000</c:v>
                </c:pt>
                <c:pt idx="14">
                  <c:v>5059577100</c:v>
                </c:pt>
                <c:pt idx="15">
                  <c:v>4962737200</c:v>
                </c:pt>
                <c:pt idx="16">
                  <c:v>4234646600</c:v>
                </c:pt>
                <c:pt idx="17">
                  <c:v>4647129100</c:v>
                </c:pt>
                <c:pt idx="18">
                  <c:v>4541790300</c:v>
                </c:pt>
                <c:pt idx="19">
                  <c:v>4593076500</c:v>
                </c:pt>
                <c:pt idx="20">
                  <c:v>4284968600</c:v>
                </c:pt>
                <c:pt idx="21">
                  <c:v>4543543800</c:v>
                </c:pt>
                <c:pt idx="22">
                  <c:v>4689919200</c:v>
                </c:pt>
                <c:pt idx="23">
                  <c:v>4253934300</c:v>
                </c:pt>
                <c:pt idx="24">
                  <c:v>4754689900</c:v>
                </c:pt>
                <c:pt idx="25">
                  <c:v>5159107200</c:v>
                </c:pt>
                <c:pt idx="26">
                  <c:v>5679824600</c:v>
                </c:pt>
                <c:pt idx="27">
                  <c:v>5054939400</c:v>
                </c:pt>
                <c:pt idx="28">
                  <c:v>4329246600</c:v>
                </c:pt>
                <c:pt idx="29">
                  <c:v>5242567700</c:v>
                </c:pt>
                <c:pt idx="30">
                  <c:v>4751528800</c:v>
                </c:pt>
                <c:pt idx="31">
                  <c:v>5074468500</c:v>
                </c:pt>
                <c:pt idx="32">
                  <c:v>4705693100</c:v>
                </c:pt>
                <c:pt idx="33">
                  <c:v>5162123600</c:v>
                </c:pt>
                <c:pt idx="34">
                  <c:v>5142616700</c:v>
                </c:pt>
                <c:pt idx="35">
                  <c:v>4795151400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13-4045-B27C-F26B9CA2562B}"/>
            </c:ext>
          </c:extLst>
        </c:ser>
        <c:ser>
          <c:idx val="2"/>
          <c:order val="2"/>
          <c:tx>
            <c:strRef>
              <c:f>'Evolución recaudo x Depto'!$D$1:$D$2</c:f>
              <c:strCache>
                <c:ptCount val="1"/>
                <c:pt idx="0">
                  <c:v>Bolivar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recaudo x Depto'!$A$3:$A$42</c:f>
              <c:multiLvlStrCache>
                <c:ptCount val="36"/>
                <c:lvl>
                  <c:pt idx="0">
                    <c:v>Abril</c:v>
                  </c:pt>
                  <c:pt idx="1">
                    <c:v>Agosto</c:v>
                  </c:pt>
                  <c:pt idx="2">
                    <c:v>Diciembre</c:v>
                  </c:pt>
                  <c:pt idx="3">
                    <c:v>Enero</c:v>
                  </c:pt>
                  <c:pt idx="4">
                    <c:v>Febreo</c:v>
                  </c:pt>
                  <c:pt idx="5">
                    <c:v>Julio</c:v>
                  </c:pt>
                  <c:pt idx="6">
                    <c:v>Junio</c:v>
                  </c:pt>
                  <c:pt idx="7">
                    <c:v>Marzo</c:v>
                  </c:pt>
                  <c:pt idx="8">
                    <c:v>Mayo</c:v>
                  </c:pt>
                  <c:pt idx="9">
                    <c:v>Noviembre</c:v>
                  </c:pt>
                  <c:pt idx="10">
                    <c:v>Octubre</c:v>
                  </c:pt>
                  <c:pt idx="11">
                    <c:v>Septiembre</c:v>
                  </c:pt>
                  <c:pt idx="12">
                    <c:v>Abril</c:v>
                  </c:pt>
                  <c:pt idx="13">
                    <c:v>Agosto</c:v>
                  </c:pt>
                  <c:pt idx="14">
                    <c:v>Diciembre</c:v>
                  </c:pt>
                  <c:pt idx="15">
                    <c:v>Enero</c:v>
                  </c:pt>
                  <c:pt idx="16">
                    <c:v>Febreo</c:v>
                  </c:pt>
                  <c:pt idx="17">
                    <c:v>Julio</c:v>
                  </c:pt>
                  <c:pt idx="18">
                    <c:v>Junio</c:v>
                  </c:pt>
                  <c:pt idx="19">
                    <c:v>Marzo</c:v>
                  </c:pt>
                  <c:pt idx="20">
                    <c:v>Mayo</c:v>
                  </c:pt>
                  <c:pt idx="21">
                    <c:v>Noviembre</c:v>
                  </c:pt>
                  <c:pt idx="22">
                    <c:v>Octubre</c:v>
                  </c:pt>
                  <c:pt idx="23">
                    <c:v>Septiembre</c:v>
                  </c:pt>
                  <c:pt idx="24">
                    <c:v>Abril</c:v>
                  </c:pt>
                  <c:pt idx="25">
                    <c:v>Agosto</c:v>
                  </c:pt>
                  <c:pt idx="26">
                    <c:v>Diciembre</c:v>
                  </c:pt>
                  <c:pt idx="27">
                    <c:v>Enero</c:v>
                  </c:pt>
                  <c:pt idx="28">
                    <c:v>Febreo</c:v>
                  </c:pt>
                  <c:pt idx="29">
                    <c:v>Julio</c:v>
                  </c:pt>
                  <c:pt idx="30">
                    <c:v>Junio</c:v>
                  </c:pt>
                  <c:pt idx="31">
                    <c:v>Marzo</c:v>
                  </c:pt>
                  <c:pt idx="32">
                    <c:v>Mayo</c:v>
                  </c:pt>
                  <c:pt idx="33">
                    <c:v>Noviembre</c:v>
                  </c:pt>
                  <c:pt idx="34">
                    <c:v>Octubre</c:v>
                  </c:pt>
                  <c:pt idx="35">
                    <c:v>Septiembre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'Evolución recaudo x Depto'!$D$3:$D$42</c:f>
              <c:numCache>
                <c:formatCode>###,###,###.#</c:formatCode>
                <c:ptCount val="36"/>
                <c:pt idx="0">
                  <c:v>7517496200</c:v>
                </c:pt>
                <c:pt idx="1">
                  <c:v>8051026400</c:v>
                </c:pt>
                <c:pt idx="2">
                  <c:v>8786674850</c:v>
                </c:pt>
                <c:pt idx="3">
                  <c:v>8607798100</c:v>
                </c:pt>
                <c:pt idx="4">
                  <c:v>7567906700</c:v>
                </c:pt>
                <c:pt idx="5">
                  <c:v>7600101850</c:v>
                </c:pt>
                <c:pt idx="6">
                  <c:v>7425589600</c:v>
                </c:pt>
                <c:pt idx="7">
                  <c:v>8355562373</c:v>
                </c:pt>
                <c:pt idx="8">
                  <c:v>7575366300</c:v>
                </c:pt>
                <c:pt idx="9">
                  <c:v>7639035800</c:v>
                </c:pt>
                <c:pt idx="10">
                  <c:v>7861338000</c:v>
                </c:pt>
                <c:pt idx="11">
                  <c:v>7553038900</c:v>
                </c:pt>
                <c:pt idx="12">
                  <c:v>10163236050</c:v>
                </c:pt>
                <c:pt idx="13">
                  <c:v>10200652400</c:v>
                </c:pt>
                <c:pt idx="14">
                  <c:v>11031488250</c:v>
                </c:pt>
                <c:pt idx="15">
                  <c:v>9083292050</c:v>
                </c:pt>
                <c:pt idx="16">
                  <c:v>7724886700</c:v>
                </c:pt>
                <c:pt idx="17">
                  <c:v>10380366850</c:v>
                </c:pt>
                <c:pt idx="18">
                  <c:v>10140502900</c:v>
                </c:pt>
                <c:pt idx="19">
                  <c:v>10045429200</c:v>
                </c:pt>
                <c:pt idx="20">
                  <c:v>9862071200</c:v>
                </c:pt>
                <c:pt idx="21">
                  <c:v>9860419700</c:v>
                </c:pt>
                <c:pt idx="22">
                  <c:v>10205065300</c:v>
                </c:pt>
                <c:pt idx="23">
                  <c:v>9674872400</c:v>
                </c:pt>
                <c:pt idx="24">
                  <c:v>10476968450</c:v>
                </c:pt>
                <c:pt idx="25">
                  <c:v>10711435400</c:v>
                </c:pt>
                <c:pt idx="26">
                  <c:v>11760488800</c:v>
                </c:pt>
                <c:pt idx="27">
                  <c:v>11270616900</c:v>
                </c:pt>
                <c:pt idx="28">
                  <c:v>9638562200</c:v>
                </c:pt>
                <c:pt idx="29">
                  <c:v>10682478400</c:v>
                </c:pt>
                <c:pt idx="30">
                  <c:v>9907098250</c:v>
                </c:pt>
                <c:pt idx="31">
                  <c:v>10991704300</c:v>
                </c:pt>
                <c:pt idx="32">
                  <c:v>10016225800</c:v>
                </c:pt>
                <c:pt idx="33">
                  <c:v>10396864200</c:v>
                </c:pt>
                <c:pt idx="34">
                  <c:v>10787720300</c:v>
                </c:pt>
                <c:pt idx="35">
                  <c:v>10140348900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13-4045-B27C-F26B9CA25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1625216"/>
        <c:axId val="1960780096"/>
      </c:lineChart>
      <c:catAx>
        <c:axId val="196162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80096"/>
        <c:crosses val="autoZero"/>
        <c:auto val="1"/>
        <c:lblAlgn val="ctr"/>
        <c:lblOffset val="100"/>
        <c:noMultiLvlLbl val="0"/>
      </c:catAx>
      <c:valAx>
        <c:axId val="196078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.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2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[proyecto2.xlsx]Evolución de recaudo x peaje!TablaDinámica3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</a:t>
            </a:r>
            <a:r>
              <a:rPr lang="en-US" baseline="0"/>
              <a:t> recaudo por peaje individual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'Evolución de recaudo x peaje'!$B$1:$B$2</c:f>
              <c:strCache>
                <c:ptCount val="1"/>
                <c:pt idx="0">
                  <c:v>BAYUNCA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de recaudo x peaje'!$A$3:$A$42</c:f>
              <c:multiLvlStrCache>
                <c:ptCount val="36"/>
                <c:lvl>
                  <c:pt idx="0">
                    <c:v>Abril</c:v>
                  </c:pt>
                  <c:pt idx="1">
                    <c:v>Agosto</c:v>
                  </c:pt>
                  <c:pt idx="2">
                    <c:v>Diciembre</c:v>
                  </c:pt>
                  <c:pt idx="3">
                    <c:v>Enero</c:v>
                  </c:pt>
                  <c:pt idx="4">
                    <c:v>Febreo</c:v>
                  </c:pt>
                  <c:pt idx="5">
                    <c:v>Julio</c:v>
                  </c:pt>
                  <c:pt idx="6">
                    <c:v>Junio</c:v>
                  </c:pt>
                  <c:pt idx="7">
                    <c:v>Marzo</c:v>
                  </c:pt>
                  <c:pt idx="8">
                    <c:v>Mayo</c:v>
                  </c:pt>
                  <c:pt idx="9">
                    <c:v>Noviembre</c:v>
                  </c:pt>
                  <c:pt idx="10">
                    <c:v>Octubre</c:v>
                  </c:pt>
                  <c:pt idx="11">
                    <c:v>Septiembre</c:v>
                  </c:pt>
                  <c:pt idx="12">
                    <c:v>Abril</c:v>
                  </c:pt>
                  <c:pt idx="13">
                    <c:v>Agosto</c:v>
                  </c:pt>
                  <c:pt idx="14">
                    <c:v>Diciembre</c:v>
                  </c:pt>
                  <c:pt idx="15">
                    <c:v>Enero</c:v>
                  </c:pt>
                  <c:pt idx="16">
                    <c:v>Febreo</c:v>
                  </c:pt>
                  <c:pt idx="17">
                    <c:v>Julio</c:v>
                  </c:pt>
                  <c:pt idx="18">
                    <c:v>Junio</c:v>
                  </c:pt>
                  <c:pt idx="19">
                    <c:v>Marzo</c:v>
                  </c:pt>
                  <c:pt idx="20">
                    <c:v>Mayo</c:v>
                  </c:pt>
                  <c:pt idx="21">
                    <c:v>Noviembre</c:v>
                  </c:pt>
                  <c:pt idx="22">
                    <c:v>Octubre</c:v>
                  </c:pt>
                  <c:pt idx="23">
                    <c:v>Septiembre</c:v>
                  </c:pt>
                  <c:pt idx="24">
                    <c:v>Abril</c:v>
                  </c:pt>
                  <c:pt idx="25">
                    <c:v>Agosto</c:v>
                  </c:pt>
                  <c:pt idx="26">
                    <c:v>Diciembre</c:v>
                  </c:pt>
                  <c:pt idx="27">
                    <c:v>Enero</c:v>
                  </c:pt>
                  <c:pt idx="28">
                    <c:v>Febreo</c:v>
                  </c:pt>
                  <c:pt idx="29">
                    <c:v>Julio</c:v>
                  </c:pt>
                  <c:pt idx="30">
                    <c:v>Junio</c:v>
                  </c:pt>
                  <c:pt idx="31">
                    <c:v>Marzo</c:v>
                  </c:pt>
                  <c:pt idx="32">
                    <c:v>Mayo</c:v>
                  </c:pt>
                  <c:pt idx="33">
                    <c:v>Noviembre</c:v>
                  </c:pt>
                  <c:pt idx="34">
                    <c:v>Octubre</c:v>
                  </c:pt>
                  <c:pt idx="35">
                    <c:v>Septiembre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'Evolución de recaudo x peaje'!$B$3:$B$42</c:f>
              <c:numCache>
                <c:formatCode>###,###,###.#</c:formatCode>
                <c:ptCount val="36"/>
                <c:pt idx="0">
                  <c:v>1371641100</c:v>
                </c:pt>
                <c:pt idx="1">
                  <c:v>1415666800</c:v>
                </c:pt>
                <c:pt idx="2">
                  <c:v>1520075300</c:v>
                </c:pt>
                <c:pt idx="3">
                  <c:v>1343467100</c:v>
                </c:pt>
                <c:pt idx="4">
                  <c:v>1305052500</c:v>
                </c:pt>
                <c:pt idx="5">
                  <c:v>1315090700</c:v>
                </c:pt>
                <c:pt idx="6">
                  <c:v>1333453700</c:v>
                </c:pt>
                <c:pt idx="7">
                  <c:v>1438935400</c:v>
                </c:pt>
                <c:pt idx="8">
                  <c:v>1301597700</c:v>
                </c:pt>
                <c:pt idx="9">
                  <c:v>1376007000</c:v>
                </c:pt>
                <c:pt idx="10">
                  <c:v>1395447200</c:v>
                </c:pt>
                <c:pt idx="11">
                  <c:v>1390403100</c:v>
                </c:pt>
                <c:pt idx="12">
                  <c:v>1435524900</c:v>
                </c:pt>
                <c:pt idx="13">
                  <c:v>1553339500</c:v>
                </c:pt>
                <c:pt idx="14">
                  <c:v>1449530550</c:v>
                </c:pt>
                <c:pt idx="15">
                  <c:v>1455825650</c:v>
                </c:pt>
                <c:pt idx="16">
                  <c:v>1424140100</c:v>
                </c:pt>
                <c:pt idx="17">
                  <c:v>1467725400</c:v>
                </c:pt>
                <c:pt idx="18">
                  <c:v>1461319200</c:v>
                </c:pt>
                <c:pt idx="19">
                  <c:v>1526996900</c:v>
                </c:pt>
                <c:pt idx="20">
                  <c:v>1460024100</c:v>
                </c:pt>
                <c:pt idx="21">
                  <c:v>1388133400</c:v>
                </c:pt>
                <c:pt idx="22">
                  <c:v>1440317800</c:v>
                </c:pt>
                <c:pt idx="23">
                  <c:v>1423128800</c:v>
                </c:pt>
                <c:pt idx="24">
                  <c:v>1506797400</c:v>
                </c:pt>
                <c:pt idx="25">
                  <c:v>1440085400</c:v>
                </c:pt>
                <c:pt idx="26">
                  <c:v>1545802200</c:v>
                </c:pt>
                <c:pt idx="27">
                  <c:v>1417575100</c:v>
                </c:pt>
                <c:pt idx="28">
                  <c:v>1369770800</c:v>
                </c:pt>
                <c:pt idx="29">
                  <c:v>1440023300</c:v>
                </c:pt>
                <c:pt idx="30">
                  <c:v>1398270100</c:v>
                </c:pt>
                <c:pt idx="31">
                  <c:v>1488487700</c:v>
                </c:pt>
                <c:pt idx="32">
                  <c:v>1461157200</c:v>
                </c:pt>
                <c:pt idx="33">
                  <c:v>1416189100</c:v>
                </c:pt>
                <c:pt idx="34">
                  <c:v>1484881100</c:v>
                </c:pt>
                <c:pt idx="35">
                  <c:v>1380306600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8-449F-8F1D-33F4F4426951}"/>
            </c:ext>
          </c:extLst>
        </c:ser>
        <c:ser>
          <c:idx val="1"/>
          <c:order val="1"/>
          <c:tx>
            <c:strRef>
              <c:f>'Evolución de recaudo x peaje'!$C$1:$C$2</c:f>
              <c:strCache>
                <c:ptCount val="1"/>
                <c:pt idx="0">
                  <c:v>PUERTO COLOMBIA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de recaudo x peaje'!$A$3:$A$42</c:f>
              <c:multiLvlStrCache>
                <c:ptCount val="36"/>
                <c:lvl>
                  <c:pt idx="0">
                    <c:v>Abril</c:v>
                  </c:pt>
                  <c:pt idx="1">
                    <c:v>Agosto</c:v>
                  </c:pt>
                  <c:pt idx="2">
                    <c:v>Diciembre</c:v>
                  </c:pt>
                  <c:pt idx="3">
                    <c:v>Enero</c:v>
                  </c:pt>
                  <c:pt idx="4">
                    <c:v>Febreo</c:v>
                  </c:pt>
                  <c:pt idx="5">
                    <c:v>Julio</c:v>
                  </c:pt>
                  <c:pt idx="6">
                    <c:v>Junio</c:v>
                  </c:pt>
                  <c:pt idx="7">
                    <c:v>Marzo</c:v>
                  </c:pt>
                  <c:pt idx="8">
                    <c:v>Mayo</c:v>
                  </c:pt>
                  <c:pt idx="9">
                    <c:v>Noviembre</c:v>
                  </c:pt>
                  <c:pt idx="10">
                    <c:v>Octubre</c:v>
                  </c:pt>
                  <c:pt idx="11">
                    <c:v>Septiembre</c:v>
                  </c:pt>
                  <c:pt idx="12">
                    <c:v>Abril</c:v>
                  </c:pt>
                  <c:pt idx="13">
                    <c:v>Agosto</c:v>
                  </c:pt>
                  <c:pt idx="14">
                    <c:v>Diciembre</c:v>
                  </c:pt>
                  <c:pt idx="15">
                    <c:v>Enero</c:v>
                  </c:pt>
                  <c:pt idx="16">
                    <c:v>Febreo</c:v>
                  </c:pt>
                  <c:pt idx="17">
                    <c:v>Julio</c:v>
                  </c:pt>
                  <c:pt idx="18">
                    <c:v>Junio</c:v>
                  </c:pt>
                  <c:pt idx="19">
                    <c:v>Marzo</c:v>
                  </c:pt>
                  <c:pt idx="20">
                    <c:v>Mayo</c:v>
                  </c:pt>
                  <c:pt idx="21">
                    <c:v>Noviembre</c:v>
                  </c:pt>
                  <c:pt idx="22">
                    <c:v>Octubre</c:v>
                  </c:pt>
                  <c:pt idx="23">
                    <c:v>Septiembre</c:v>
                  </c:pt>
                  <c:pt idx="24">
                    <c:v>Abril</c:v>
                  </c:pt>
                  <c:pt idx="25">
                    <c:v>Agosto</c:v>
                  </c:pt>
                  <c:pt idx="26">
                    <c:v>Diciembre</c:v>
                  </c:pt>
                  <c:pt idx="27">
                    <c:v>Enero</c:v>
                  </c:pt>
                  <c:pt idx="28">
                    <c:v>Febreo</c:v>
                  </c:pt>
                  <c:pt idx="29">
                    <c:v>Julio</c:v>
                  </c:pt>
                  <c:pt idx="30">
                    <c:v>Junio</c:v>
                  </c:pt>
                  <c:pt idx="31">
                    <c:v>Marzo</c:v>
                  </c:pt>
                  <c:pt idx="32">
                    <c:v>Mayo</c:v>
                  </c:pt>
                  <c:pt idx="33">
                    <c:v>Noviembre</c:v>
                  </c:pt>
                  <c:pt idx="34">
                    <c:v>Octubre</c:v>
                  </c:pt>
                  <c:pt idx="35">
                    <c:v>Septiembre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'Evolución de recaudo x peaje'!$C$3:$C$42</c:f>
              <c:numCache>
                <c:formatCode>###,###,###.#</c:formatCode>
                <c:ptCount val="36"/>
                <c:pt idx="0">
                  <c:v>1592873600</c:v>
                </c:pt>
                <c:pt idx="1">
                  <c:v>1857524100</c:v>
                </c:pt>
                <c:pt idx="2">
                  <c:v>2211522700</c:v>
                </c:pt>
                <c:pt idx="3">
                  <c:v>2146704600</c:v>
                </c:pt>
                <c:pt idx="4">
                  <c:v>1666969800</c:v>
                </c:pt>
                <c:pt idx="5">
                  <c:v>2073798500</c:v>
                </c:pt>
                <c:pt idx="6">
                  <c:v>1770839800</c:v>
                </c:pt>
                <c:pt idx="7">
                  <c:v>1987465300</c:v>
                </c:pt>
                <c:pt idx="8">
                  <c:v>1837900900</c:v>
                </c:pt>
                <c:pt idx="9">
                  <c:v>1690581800</c:v>
                </c:pt>
                <c:pt idx="10">
                  <c:v>1808628200</c:v>
                </c:pt>
                <c:pt idx="11">
                  <c:v>1687647500</c:v>
                </c:pt>
                <c:pt idx="12">
                  <c:v>2197674600</c:v>
                </c:pt>
                <c:pt idx="13">
                  <c:v>2070234600</c:v>
                </c:pt>
                <c:pt idx="14">
                  <c:v>2417176500</c:v>
                </c:pt>
                <c:pt idx="15">
                  <c:v>2516824800</c:v>
                </c:pt>
                <c:pt idx="16">
                  <c:v>1973095500</c:v>
                </c:pt>
                <c:pt idx="17">
                  <c:v>2257298600</c:v>
                </c:pt>
                <c:pt idx="18">
                  <c:v>2148617400</c:v>
                </c:pt>
                <c:pt idx="19">
                  <c:v>2099465700</c:v>
                </c:pt>
                <c:pt idx="20">
                  <c:v>1867987000</c:v>
                </c:pt>
                <c:pt idx="21">
                  <c:v>2060998000</c:v>
                </c:pt>
                <c:pt idx="22">
                  <c:v>2214439800</c:v>
                </c:pt>
                <c:pt idx="23">
                  <c:v>1919977300</c:v>
                </c:pt>
                <c:pt idx="24">
                  <c:v>2042297700</c:v>
                </c:pt>
                <c:pt idx="25">
                  <c:v>2400760900</c:v>
                </c:pt>
                <c:pt idx="26">
                  <c:v>2763932200</c:v>
                </c:pt>
                <c:pt idx="27">
                  <c:v>2473418300</c:v>
                </c:pt>
                <c:pt idx="28">
                  <c:v>1970802800</c:v>
                </c:pt>
                <c:pt idx="29">
                  <c:v>2551952400</c:v>
                </c:pt>
                <c:pt idx="30">
                  <c:v>2276672400</c:v>
                </c:pt>
                <c:pt idx="31">
                  <c:v>2403180400</c:v>
                </c:pt>
                <c:pt idx="32">
                  <c:v>1967619000</c:v>
                </c:pt>
                <c:pt idx="33">
                  <c:v>2401582000</c:v>
                </c:pt>
                <c:pt idx="34">
                  <c:v>2343183900</c:v>
                </c:pt>
                <c:pt idx="35">
                  <c:v>2152449100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8-449F-8F1D-33F4F4426951}"/>
            </c:ext>
          </c:extLst>
        </c:ser>
        <c:ser>
          <c:idx val="2"/>
          <c:order val="2"/>
          <c:tx>
            <c:strRef>
              <c:f>'Evolución de recaudo x peaje'!$D$1:$D$2</c:f>
              <c:strCache>
                <c:ptCount val="1"/>
                <c:pt idx="0">
                  <c:v>SAN ONOFRE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de recaudo x peaje'!$A$3:$A$42</c:f>
              <c:multiLvlStrCache>
                <c:ptCount val="36"/>
                <c:lvl>
                  <c:pt idx="0">
                    <c:v>Abril</c:v>
                  </c:pt>
                  <c:pt idx="1">
                    <c:v>Agosto</c:v>
                  </c:pt>
                  <c:pt idx="2">
                    <c:v>Diciembre</c:v>
                  </c:pt>
                  <c:pt idx="3">
                    <c:v>Enero</c:v>
                  </c:pt>
                  <c:pt idx="4">
                    <c:v>Febreo</c:v>
                  </c:pt>
                  <c:pt idx="5">
                    <c:v>Julio</c:v>
                  </c:pt>
                  <c:pt idx="6">
                    <c:v>Junio</c:v>
                  </c:pt>
                  <c:pt idx="7">
                    <c:v>Marzo</c:v>
                  </c:pt>
                  <c:pt idx="8">
                    <c:v>Mayo</c:v>
                  </c:pt>
                  <c:pt idx="9">
                    <c:v>Noviembre</c:v>
                  </c:pt>
                  <c:pt idx="10">
                    <c:v>Octubre</c:v>
                  </c:pt>
                  <c:pt idx="11">
                    <c:v>Septiembre</c:v>
                  </c:pt>
                  <c:pt idx="12">
                    <c:v>Abril</c:v>
                  </c:pt>
                  <c:pt idx="13">
                    <c:v>Agosto</c:v>
                  </c:pt>
                  <c:pt idx="14">
                    <c:v>Diciembre</c:v>
                  </c:pt>
                  <c:pt idx="15">
                    <c:v>Enero</c:v>
                  </c:pt>
                  <c:pt idx="16">
                    <c:v>Febreo</c:v>
                  </c:pt>
                  <c:pt idx="17">
                    <c:v>Julio</c:v>
                  </c:pt>
                  <c:pt idx="18">
                    <c:v>Junio</c:v>
                  </c:pt>
                  <c:pt idx="19">
                    <c:v>Marzo</c:v>
                  </c:pt>
                  <c:pt idx="20">
                    <c:v>Mayo</c:v>
                  </c:pt>
                  <c:pt idx="21">
                    <c:v>Noviembre</c:v>
                  </c:pt>
                  <c:pt idx="22">
                    <c:v>Octubre</c:v>
                  </c:pt>
                  <c:pt idx="23">
                    <c:v>Septiembre</c:v>
                  </c:pt>
                  <c:pt idx="24">
                    <c:v>Abril</c:v>
                  </c:pt>
                  <c:pt idx="25">
                    <c:v>Agosto</c:v>
                  </c:pt>
                  <c:pt idx="26">
                    <c:v>Diciembre</c:v>
                  </c:pt>
                  <c:pt idx="27">
                    <c:v>Enero</c:v>
                  </c:pt>
                  <c:pt idx="28">
                    <c:v>Febreo</c:v>
                  </c:pt>
                  <c:pt idx="29">
                    <c:v>Julio</c:v>
                  </c:pt>
                  <c:pt idx="30">
                    <c:v>Junio</c:v>
                  </c:pt>
                  <c:pt idx="31">
                    <c:v>Marzo</c:v>
                  </c:pt>
                  <c:pt idx="32">
                    <c:v>Mayo</c:v>
                  </c:pt>
                  <c:pt idx="33">
                    <c:v>Noviembre</c:v>
                  </c:pt>
                  <c:pt idx="34">
                    <c:v>Octubre</c:v>
                  </c:pt>
                  <c:pt idx="35">
                    <c:v>Septiembre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'Evolución de recaudo x peaje'!$D$3:$D$42</c:f>
              <c:numCache>
                <c:formatCode>###,###,###.#</c:formatCode>
                <c:ptCount val="36"/>
                <c:pt idx="0">
                  <c:v>608805500</c:v>
                </c:pt>
                <c:pt idx="1">
                  <c:v>1019690600</c:v>
                </c:pt>
                <c:pt idx="2">
                  <c:v>1033337300</c:v>
                </c:pt>
                <c:pt idx="3">
                  <c:v>774410000</c:v>
                </c:pt>
                <c:pt idx="4">
                  <c:v>628462200</c:v>
                </c:pt>
                <c:pt idx="5">
                  <c:v>635451600</c:v>
                </c:pt>
                <c:pt idx="6">
                  <c:v>614601000</c:v>
                </c:pt>
                <c:pt idx="7">
                  <c:v>733209500</c:v>
                </c:pt>
                <c:pt idx="8">
                  <c:v>656454000</c:v>
                </c:pt>
                <c:pt idx="9">
                  <c:v>888135200</c:v>
                </c:pt>
                <c:pt idx="10">
                  <c:v>907357200</c:v>
                </c:pt>
                <c:pt idx="11">
                  <c:v>930378800</c:v>
                </c:pt>
                <c:pt idx="12">
                  <c:v>1114992000</c:v>
                </c:pt>
                <c:pt idx="13">
                  <c:v>976759400</c:v>
                </c:pt>
                <c:pt idx="14">
                  <c:v>1123330900</c:v>
                </c:pt>
                <c:pt idx="15">
                  <c:v>1122703000</c:v>
                </c:pt>
                <c:pt idx="16">
                  <c:v>866742000</c:v>
                </c:pt>
                <c:pt idx="17">
                  <c:v>1011385400</c:v>
                </c:pt>
                <c:pt idx="18">
                  <c:v>1040132700</c:v>
                </c:pt>
                <c:pt idx="19">
                  <c:v>973912200</c:v>
                </c:pt>
                <c:pt idx="20">
                  <c:v>969873400</c:v>
                </c:pt>
                <c:pt idx="21">
                  <c:v>950461400</c:v>
                </c:pt>
                <c:pt idx="22">
                  <c:v>953694100</c:v>
                </c:pt>
                <c:pt idx="23">
                  <c:v>953471700</c:v>
                </c:pt>
                <c:pt idx="24">
                  <c:v>1105495800</c:v>
                </c:pt>
                <c:pt idx="25">
                  <c:v>1069565000</c:v>
                </c:pt>
                <c:pt idx="26">
                  <c:v>1234068700</c:v>
                </c:pt>
                <c:pt idx="27">
                  <c:v>1236633100</c:v>
                </c:pt>
                <c:pt idx="28">
                  <c:v>960229400</c:v>
                </c:pt>
                <c:pt idx="29">
                  <c:v>1108288800</c:v>
                </c:pt>
                <c:pt idx="30">
                  <c:v>1035941000</c:v>
                </c:pt>
                <c:pt idx="31">
                  <c:v>1122183400</c:v>
                </c:pt>
                <c:pt idx="32">
                  <c:v>1037629000</c:v>
                </c:pt>
                <c:pt idx="33">
                  <c:v>1012341200</c:v>
                </c:pt>
                <c:pt idx="34">
                  <c:v>1042339900</c:v>
                </c:pt>
                <c:pt idx="35">
                  <c:v>991343700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08-449F-8F1D-33F4F4426951}"/>
            </c:ext>
          </c:extLst>
        </c:ser>
        <c:ser>
          <c:idx val="3"/>
          <c:order val="3"/>
          <c:tx>
            <c:strRef>
              <c:f>'Evolución de recaudo x peaje'!$E$1:$E$2</c:f>
              <c:strCache>
                <c:ptCount val="1"/>
                <c:pt idx="0">
                  <c:v>TURBACO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'Evolución de recaudo x peaje'!$A$3:$A$42</c:f>
              <c:multiLvlStrCache>
                <c:ptCount val="36"/>
                <c:lvl>
                  <c:pt idx="0">
                    <c:v>Abril</c:v>
                  </c:pt>
                  <c:pt idx="1">
                    <c:v>Agosto</c:v>
                  </c:pt>
                  <c:pt idx="2">
                    <c:v>Diciembre</c:v>
                  </c:pt>
                  <c:pt idx="3">
                    <c:v>Enero</c:v>
                  </c:pt>
                  <c:pt idx="4">
                    <c:v>Febreo</c:v>
                  </c:pt>
                  <c:pt idx="5">
                    <c:v>Julio</c:v>
                  </c:pt>
                  <c:pt idx="6">
                    <c:v>Junio</c:v>
                  </c:pt>
                  <c:pt idx="7">
                    <c:v>Marzo</c:v>
                  </c:pt>
                  <c:pt idx="8">
                    <c:v>Mayo</c:v>
                  </c:pt>
                  <c:pt idx="9">
                    <c:v>Noviembre</c:v>
                  </c:pt>
                  <c:pt idx="10">
                    <c:v>Octubre</c:v>
                  </c:pt>
                  <c:pt idx="11">
                    <c:v>Septiembre</c:v>
                  </c:pt>
                  <c:pt idx="12">
                    <c:v>Abril</c:v>
                  </c:pt>
                  <c:pt idx="13">
                    <c:v>Agosto</c:v>
                  </c:pt>
                  <c:pt idx="14">
                    <c:v>Diciembre</c:v>
                  </c:pt>
                  <c:pt idx="15">
                    <c:v>Enero</c:v>
                  </c:pt>
                  <c:pt idx="16">
                    <c:v>Febreo</c:v>
                  </c:pt>
                  <c:pt idx="17">
                    <c:v>Julio</c:v>
                  </c:pt>
                  <c:pt idx="18">
                    <c:v>Junio</c:v>
                  </c:pt>
                  <c:pt idx="19">
                    <c:v>Marzo</c:v>
                  </c:pt>
                  <c:pt idx="20">
                    <c:v>Mayo</c:v>
                  </c:pt>
                  <c:pt idx="21">
                    <c:v>Noviembre</c:v>
                  </c:pt>
                  <c:pt idx="22">
                    <c:v>Octubre</c:v>
                  </c:pt>
                  <c:pt idx="23">
                    <c:v>Septiembre</c:v>
                  </c:pt>
                  <c:pt idx="24">
                    <c:v>Abril</c:v>
                  </c:pt>
                  <c:pt idx="25">
                    <c:v>Agosto</c:v>
                  </c:pt>
                  <c:pt idx="26">
                    <c:v>Diciembre</c:v>
                  </c:pt>
                  <c:pt idx="27">
                    <c:v>Enero</c:v>
                  </c:pt>
                  <c:pt idx="28">
                    <c:v>Febreo</c:v>
                  </c:pt>
                  <c:pt idx="29">
                    <c:v>Julio</c:v>
                  </c:pt>
                  <c:pt idx="30">
                    <c:v>Junio</c:v>
                  </c:pt>
                  <c:pt idx="31">
                    <c:v>Marzo</c:v>
                  </c:pt>
                  <c:pt idx="32">
                    <c:v>Mayo</c:v>
                  </c:pt>
                  <c:pt idx="33">
                    <c:v>Noviembre</c:v>
                  </c:pt>
                  <c:pt idx="34">
                    <c:v>Octubre</c:v>
                  </c:pt>
                  <c:pt idx="35">
                    <c:v>Septiembre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'Evolución de recaudo x peaje'!$E$3:$E$42</c:f>
              <c:numCache>
                <c:formatCode>###,###,###.#</c:formatCode>
                <c:ptCount val="36"/>
                <c:pt idx="0">
                  <c:v>1316242400</c:v>
                </c:pt>
                <c:pt idx="1">
                  <c:v>1378867100</c:v>
                </c:pt>
                <c:pt idx="2">
                  <c:v>1477674500</c:v>
                </c:pt>
                <c:pt idx="3">
                  <c:v>1362975000</c:v>
                </c:pt>
                <c:pt idx="4">
                  <c:v>1298356600</c:v>
                </c:pt>
                <c:pt idx="5">
                  <c:v>1374817400</c:v>
                </c:pt>
                <c:pt idx="6">
                  <c:v>1306161800</c:v>
                </c:pt>
                <c:pt idx="7">
                  <c:v>1382575400</c:v>
                </c:pt>
                <c:pt idx="8">
                  <c:v>1350494200</c:v>
                </c:pt>
                <c:pt idx="9">
                  <c:v>1277740200</c:v>
                </c:pt>
                <c:pt idx="10">
                  <c:v>1338769400</c:v>
                </c:pt>
                <c:pt idx="11">
                  <c:v>1352899300</c:v>
                </c:pt>
                <c:pt idx="12">
                  <c:v>1563383700</c:v>
                </c:pt>
                <c:pt idx="13">
                  <c:v>1674301000</c:v>
                </c:pt>
                <c:pt idx="14">
                  <c:v>1760804100</c:v>
                </c:pt>
                <c:pt idx="15">
                  <c:v>1505414800</c:v>
                </c:pt>
                <c:pt idx="16">
                  <c:v>1373995500</c:v>
                </c:pt>
                <c:pt idx="17">
                  <c:v>1666454450</c:v>
                </c:pt>
                <c:pt idx="18">
                  <c:v>1580366800</c:v>
                </c:pt>
                <c:pt idx="19">
                  <c:v>1614141800</c:v>
                </c:pt>
                <c:pt idx="20">
                  <c:v>1609729100</c:v>
                </c:pt>
                <c:pt idx="21">
                  <c:v>1536770400</c:v>
                </c:pt>
                <c:pt idx="22">
                  <c:v>1651504900</c:v>
                </c:pt>
                <c:pt idx="23">
                  <c:v>1573218600</c:v>
                </c:pt>
                <c:pt idx="24">
                  <c:v>1775466750</c:v>
                </c:pt>
                <c:pt idx="25">
                  <c:v>1849901100</c:v>
                </c:pt>
                <c:pt idx="26">
                  <c:v>1957579900</c:v>
                </c:pt>
                <c:pt idx="27">
                  <c:v>1698419200</c:v>
                </c:pt>
                <c:pt idx="28">
                  <c:v>1621135700</c:v>
                </c:pt>
                <c:pt idx="29">
                  <c:v>1828610600</c:v>
                </c:pt>
                <c:pt idx="30">
                  <c:v>1723735650</c:v>
                </c:pt>
                <c:pt idx="31">
                  <c:v>1828402700</c:v>
                </c:pt>
                <c:pt idx="32">
                  <c:v>1786483600</c:v>
                </c:pt>
                <c:pt idx="33">
                  <c:v>1723673900</c:v>
                </c:pt>
                <c:pt idx="34">
                  <c:v>1840293000</c:v>
                </c:pt>
                <c:pt idx="35">
                  <c:v>1792488700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08-449F-8F1D-33F4F4426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305200"/>
        <c:axId val="18008096"/>
      </c:lineChart>
      <c:catAx>
        <c:axId val="44930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8096"/>
        <c:crosses val="autoZero"/>
        <c:auto val="1"/>
        <c:lblAlgn val="ctr"/>
        <c:lblOffset val="100"/>
        <c:noMultiLvlLbl val="0"/>
      </c:catAx>
      <c:valAx>
        <c:axId val="180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.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30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295274</xdr:colOff>
      <xdr:row>1</xdr:row>
      <xdr:rowOff>95249</xdr:rowOff>
    </xdr:from>
    <xdr:to>
      <xdr:col>17</xdr:col>
      <xdr:colOff>619125</xdr:colOff>
      <xdr:row>24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4BAD78-4F50-4E47-BC9A-98E82A316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904875</xdr:colOff>
      <xdr:row>2</xdr:row>
      <xdr:rowOff>9525</xdr:rowOff>
    </xdr:from>
    <xdr:to>
      <xdr:col>9</xdr:col>
      <xdr:colOff>95250</xdr:colOff>
      <xdr:row>15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Departamento">
              <a:extLst>
                <a:ext uri="{FF2B5EF4-FFF2-40B4-BE49-F238E27FC236}">
                  <a16:creationId xmlns:a16="http://schemas.microsoft.com/office/drawing/2014/main" id="{206BE2D3-DAA7-489C-AF29-3CC1637D04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3625" y="390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</xdr:row>
      <xdr:rowOff>114299</xdr:rowOff>
    </xdr:from>
    <xdr:to>
      <xdr:col>16</xdr:col>
      <xdr:colOff>628650</xdr:colOff>
      <xdr:row>20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504E64-7B4F-4B7C-8B2A-EAA0A98BD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104775</xdr:colOff>
      <xdr:row>1</xdr:row>
      <xdr:rowOff>180975</xdr:rowOff>
    </xdr:from>
    <xdr:to>
      <xdr:col>8</xdr:col>
      <xdr:colOff>333375</xdr:colOff>
      <xdr:row>15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Nombre">
              <a:extLst>
                <a:ext uri="{FF2B5EF4-FFF2-40B4-BE49-F238E27FC236}">
                  <a16:creationId xmlns:a16="http://schemas.microsoft.com/office/drawing/2014/main" id="{45ADB802-556E-42BE-AF2F-27973336D9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5075" y="3714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</xdr:row>
      <xdr:rowOff>38099</xdr:rowOff>
    </xdr:from>
    <xdr:to>
      <xdr:col>15</xdr:col>
      <xdr:colOff>1209674</xdr:colOff>
      <xdr:row>18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A2E3C4-03F4-4958-A964-926ACB2E4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314325</xdr:colOff>
      <xdr:row>1</xdr:row>
      <xdr:rowOff>38100</xdr:rowOff>
    </xdr:from>
    <xdr:to>
      <xdr:col>7</xdr:col>
      <xdr:colOff>209550</xdr:colOff>
      <xdr:row>14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Departamento 1">
              <a:extLst>
                <a:ext uri="{FF2B5EF4-FFF2-40B4-BE49-F238E27FC236}">
                  <a16:creationId xmlns:a16="http://schemas.microsoft.com/office/drawing/2014/main" id="{301FF867-DDB4-453F-82B2-C93C473F8D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3150" y="2286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0</xdr:row>
      <xdr:rowOff>66674</xdr:rowOff>
    </xdr:from>
    <xdr:to>
      <xdr:col>17</xdr:col>
      <xdr:colOff>400050</xdr:colOff>
      <xdr:row>19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585326-8204-48B9-8642-21E04D673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485775</xdr:colOff>
      <xdr:row>0</xdr:row>
      <xdr:rowOff>114300</xdr:rowOff>
    </xdr:from>
    <xdr:to>
      <xdr:col>8</xdr:col>
      <xdr:colOff>342900</xdr:colOff>
      <xdr:row>13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Nombre 1">
              <a:extLst>
                <a:ext uri="{FF2B5EF4-FFF2-40B4-BE49-F238E27FC236}">
                  <a16:creationId xmlns:a16="http://schemas.microsoft.com/office/drawing/2014/main" id="{15EEEEC2-B134-4E6C-B7D6-E64E41C8FD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5675" y="1143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Andres Gomez Polo" refreshedDate="44136.723329629633" backgroundQuery="1" createdVersion="6" refreshedVersion="6" minRefreshableVersion="3" recordCount="0" xr:uid="{B1F92E9D-E1EC-4FD8-8847-1289717A2ED4}">
  <cacheSource type="external" connectionId="1"/>
  <cacheFields count="5">
    <cacheField name="[Fecha.Anio].[Anio]" caption="Anio" numFmtId="0" level="1">
      <sharedItems count="2">
        <s v="[Fecha.Anio].[2016]" c="2016"/>
        <s v="[Fecha.Anio].[2018]" c="2018"/>
      </sharedItems>
    </cacheField>
    <cacheField name="[Measures].[Tráfico]" caption="Tráfico" numFmtId="0" hierarchy="28" level="32767"/>
    <cacheField name="[Fecha.Mes].[Mes]" caption="Mes" numFmtId="0" hierarchy="3" level="1">
      <sharedItems count="12">
        <s v="[Fecha.Mes].[Abril]" c="Abril"/>
        <s v="[Fecha.Mes].[Agosto]" c="Agosto"/>
        <s v="[Fecha.Mes].[Diciembre]" c="Diciembre"/>
        <s v="[Fecha.Mes].[Enero]" c="Enero"/>
        <s v="[Fecha.Mes].[Febreo]" c="Febreo"/>
        <s v="[Fecha.Mes].[Julio]" c="Julio"/>
        <s v="[Fecha.Mes].[Junio]" c="Junio"/>
        <s v="[Fecha.Mes].[Marzo]" c="Marzo"/>
        <s v="[Fecha.Mes].[Mayo]" c="Mayo"/>
        <s v="[Fecha.Mes].[Noviembre]" c="Noviembre"/>
        <s v="[Fecha.Mes].[Octubre]" c="Octubre"/>
        <s v="[Fecha.Mes].[Septiembre]" c="Septiembre"/>
      </sharedItems>
    </cacheField>
    <cacheField name="[Peaje.Nombre].[Nombre]" caption="Nombre" numFmtId="0" hierarchy="23" level="1">
      <sharedItems count="12">
        <s v="[Peaje.Nombre].[BAYUNCA]" c="BAYUNCA"/>
        <s v="[Peaje.Nombre].[PUERTO COLOMBIA]" c="PUERTO COLOMBIA"/>
        <s v="[Peaje.Nombre].[SAN ONOFRE]" c="SAN ONOFRE"/>
        <s v="[Peaje.Nombre].[TURBACO]" c="TURBACO"/>
        <s v="[Peaje.Nombre].[PUERTO BERRIO]" u="1" c="PUERTO BERRIO"/>
        <s v="[Peaje.Nombre].[LA LOMA]" u="1" c="LA LOMA"/>
        <s v="[Peaje.Nombre].[PAILITAS]" u="1" c="PAILITAS"/>
        <s v="[Peaje.Nombre].[PLATANAL]" u="1" c="PLATANAL"/>
        <s v="[Peaje.Nombre].[GAMARRA]" u="1" c="GAMARRA"/>
        <s v="[Peaje.Nombre].[ACAPULCO]" u="1" c="ACAPULCO"/>
        <s v="[Peaje.Nombre].[AGUAS NEGRAS]" u="1" c="AGUAS NEGRAS"/>
        <s v="[Peaje.Nombre].[ALBARRACIN]" u="1" c="ALBARRACIN"/>
      </sharedItems>
    </cacheField>
    <cacheField name="[Peaje.Departamento].[Departamento]" caption="Departamento" numFmtId="0" hierarchy="17" level="1">
      <sharedItems containsSemiMixedTypes="0" containsString="0"/>
    </cacheField>
  </cacheFields>
  <cacheHierarchies count="29">
    <cacheHierarchy uniqueName="[Fecha.Anio]" caption="Anio" defaultMemberUniqueName="[Fecha.Anio].[All Fecha.Anios]" allUniqueName="[Fecha.Anio].[All Fecha.Anios]" dimensionUniqueName="[Fecha]" count="2" unbalanced="0">
      <fieldsUsage count="2">
        <fieldUsage x="-1"/>
        <fieldUsage x="0"/>
      </fieldsUsage>
    </cacheHierarchy>
    <cacheHierarchy uniqueName="[Fecha.Cod fecha]" caption="Cod fecha" defaultMemberUniqueName="[Fecha.Cod fecha].[All Fecha.Cod fechas]" allUniqueName="[Fecha.Cod fecha].[All Fecha.Cod fechas]" dimensionUniqueName="[Fecha]" count="0" unbalanced="0"/>
    <cacheHierarchy uniqueName="[Fecha.Cuadrimestre]" caption="Cuadrimestre" defaultMemberUniqueName="[Fecha.Cuadrimestre].[All Fecha.Cuadrimestres]" allUniqueName="[Fecha.Cuadrimestre].[All Fecha.Cuadrimestres]" dimensionUniqueName="[Fecha]" count="0" unbalanced="0"/>
    <cacheHierarchy uniqueName="[Fecha.Mes]" caption="Mes" defaultMemberUniqueName="[Fecha.Mes].[All Fecha.Mess]" allUniqueName="[Fecha.Mes].[All Fecha.Mess]" dimensionUniqueName="[Fecha]" count="2" unbalanced="0">
      <fieldsUsage count="2">
        <fieldUsage x="-1"/>
        <fieldUsage x="2"/>
      </fieldsUsage>
    </cacheHierarchy>
    <cacheHierarchy uniqueName="[Fecha.Semestre]" caption="Semestre" defaultMemberUniqueName="[Fecha.Semestre].[All Fecha.Semestres]" allUniqueName="[Fecha.Semestre].[All Fecha.Semestres]" dimensionUniqueName="[Fecha]" count="0" unbalanced="0"/>
    <cacheHierarchy uniqueName="[Fecha.Trimestre]" caption="Trimestre" defaultMemberUniqueName="[Fecha.Trimestre].[All Fecha.Trimestres]" allUniqueName="[Fecha.Trimestre].[All Fecha.Trimestres]" dimensionUniqueName="[Fecha]" count="0" unbalanced="0"/>
    <cacheHierarchy uniqueName="[Peaje.Admon]" caption="Admon" defaultMemberUniqueName="[Peaje.Admon].[All Peaje.Admons]" allUniqueName="[Peaje.Admon].[All Peaje.Admons]" dimensionUniqueName="[Peaje]" count="0" unbalanced="0"/>
    <cacheHierarchy uniqueName="[Peaje.Cat 1]" caption="Cat 1" defaultMemberUniqueName="[Peaje.Cat 1].[All Peaje.Cat 1s]" allUniqueName="[Peaje.Cat 1].[All Peaje.Cat 1s]" dimensionUniqueName="[Peaje]" count="0" unbalanced="0"/>
    <cacheHierarchy uniqueName="[Peaje.Cat 2]" caption="Cat 2" defaultMemberUniqueName="[Peaje.Cat 2].[All Peaje.Cat 2s]" allUniqueName="[Peaje.Cat 2].[All Peaje.Cat 2s]" dimensionUniqueName="[Peaje]" count="0" unbalanced="0"/>
    <cacheHierarchy uniqueName="[Peaje.Cat 3]" caption="Cat 3" defaultMemberUniqueName="[Peaje.Cat 3].[All Peaje.Cat 3s]" allUniqueName="[Peaje.Cat 3].[All Peaje.Cat 3s]" dimensionUniqueName="[Peaje]" count="0" unbalanced="0"/>
    <cacheHierarchy uniqueName="[Peaje.Cat 4]" caption="Cat 4" defaultMemberUniqueName="[Peaje.Cat 4].[All Peaje.Cat 4s]" allUniqueName="[Peaje.Cat 4].[All Peaje.Cat 4s]" dimensionUniqueName="[Peaje]" count="0" unbalanced="0"/>
    <cacheHierarchy uniqueName="[Peaje.Cat 5]" caption="Cat 5" defaultMemberUniqueName="[Peaje.Cat 5].[All Peaje.Cat 5s]" allUniqueName="[Peaje.Cat 5].[All Peaje.Cat 5s]" dimensionUniqueName="[Peaje]" count="0" unbalanced="0"/>
    <cacheHierarchy uniqueName="[Peaje.Cat 6]" caption="Cat 6" defaultMemberUniqueName="[Peaje.Cat 6].[All Peaje.Cat 6s]" allUniqueName="[Peaje.Cat 6].[All Peaje.Cat 6s]" dimensionUniqueName="[Peaje]" count="0" unbalanced="0"/>
    <cacheHierarchy uniqueName="[Peaje.Cat 7]" caption="Cat 7" defaultMemberUniqueName="[Peaje.Cat 7].[All Peaje.Cat 7s]" allUniqueName="[Peaje.Cat 7].[All Peaje.Cat 7s]" dimensionUniqueName="[Peaje]" count="0" unbalanced="0"/>
    <cacheHierarchy uniqueName="[Peaje.Cat 8]" caption="Cat 8" defaultMemberUniqueName="[Peaje.Cat 8].[All Peaje.Cat 8s]" allUniqueName="[Peaje.Cat 8].[All Peaje.Cat 8s]" dimensionUniqueName="[Peaje]" count="0" unbalanced="0"/>
    <cacheHierarchy uniqueName="[Peaje.Cat 9]" caption="Cat 9" defaultMemberUniqueName="[Peaje.Cat 9].[All Peaje.Cat 9s]" allUniqueName="[Peaje.Cat 9].[All Peaje.Cat 9s]" dimensionUniqueName="[Peaje]" count="0" unbalanced="0"/>
    <cacheHierarchy uniqueName="[Peaje.Cod via]" caption="Cod via" defaultMemberUniqueName="[Peaje.Cod via].[All Peaje.Cod vias]" allUniqueName="[Peaje.Cod via].[All Peaje.Cod vias]" dimensionUniqueName="[Peaje]" count="0" unbalanced="0"/>
    <cacheHierarchy uniqueName="[Peaje.Departamento]" caption="Departamento" defaultMemberUniqueName="[Peaje.Departamento].[All Peaje.Departamentos]" allUniqueName="[Peaje.Departamento].[All Peaje.Departamentos]" dimensionUniqueName="[Peaje]" count="2" unbalanced="0">
      <fieldsUsage count="2">
        <fieldUsage x="-1"/>
        <fieldUsage x="4"/>
      </fieldsUsage>
    </cacheHierarchy>
    <cacheHierarchy uniqueName="[Peaje.Eje adic 2]" caption="Eje adic 2" defaultMemberUniqueName="[Peaje.Eje adic 2].[All Peaje.Eje adic 2s]" allUniqueName="[Peaje.Eje adic 2].[All Peaje.Eje adic 2s]" dimensionUniqueName="[Peaje]" count="0" unbalanced="0"/>
    <cacheHierarchy uniqueName="[Peaje.Eje adicio]" caption="Eje adicio" defaultMemberUniqueName="[Peaje.Eje adicio].[All Peaje.Eje adicios]" allUniqueName="[Peaje.Eje adicio].[All Peaje.Eje adicios]" dimensionUniqueName="[Peaje]" count="0" unbalanced="0"/>
    <cacheHierarchy uniqueName="[Peaje.Gcd departamento]" caption="Gcd departamento" defaultMemberUniqueName="[Peaje.Gcd departamento].[All Peaje.Gcd departamentos]" allUniqueName="[Peaje.Gcd departamento].[All Peaje.Gcd departamentos]" dimensionUniqueName="[Peaje]" count="0" unbalanced="0"/>
    <cacheHierarchy uniqueName="[Peaje.Latitud]" caption="Latitud" defaultMemberUniqueName="[Peaje.Latitud].[All Peaje.Latituds]" allUniqueName="[Peaje.Latitud].[All Peaje.Latituds]" dimensionUniqueName="[Peaje]" count="0" unbalanced="0"/>
    <cacheHierarchy uniqueName="[Peaje.Longitud]" caption="Longitud" defaultMemberUniqueName="[Peaje.Longitud].[All Peaje.Longituds]" allUniqueName="[Peaje.Longitud].[All Peaje.Longituds]" dimensionUniqueName="[Peaje]" count="0" unbalanced="0"/>
    <cacheHierarchy uniqueName="[Peaje.Nombre]" caption="Nombre" defaultMemberUniqueName="[Peaje.Nombre].[All Peaje.Nombres]" allUniqueName="[Peaje.Nombre].[All Peaje.Nombres]" dimensionUniqueName="[Peaje]" count="2" unbalanced="0">
      <fieldsUsage count="2">
        <fieldUsage x="-1"/>
        <fieldUsage x="3"/>
      </fieldsUsage>
    </cacheHierarchy>
    <cacheHierarchy uniqueName="[Peaje.Responsable]" caption="Responsable" defaultMemberUniqueName="[Peaje.Responsable].[All Peaje.Responsables]" allUniqueName="[Peaje.Responsable].[All Peaje.Responsables]" dimensionUniqueName="[Peaje]" count="0" unbalanced="0"/>
    <cacheHierarchy uniqueName="[Measures].[Promedio Recaudo]" caption="Promedio Recaudo" measure="1" displayFolder="" measureGroup="" count="0"/>
    <cacheHierarchy uniqueName="[Measures].[Promedio Tráfico]" caption="Promedio Tráfico" measure="1" displayFolder="" measureGroup="" count="0"/>
    <cacheHierarchy uniqueName="[Measures].[Recaudo]" caption="Recaudo" measure="1" displayFolder="" measureGroup="" count="0"/>
    <cacheHierarchy uniqueName="[Measures].[Tráfico]" caption="Tráfico" measure="1" displayFolder="" measureGroup="" count="0" oneField="1">
      <fieldsUsage count="1">
        <fieldUsage x="1"/>
      </fieldsUsage>
    </cacheHierarchy>
  </cacheHierarchies>
  <kpis count="0"/>
  <dimensions count="3">
    <dimension name="Fecha" uniqueName="[Fecha]" caption="Fecha"/>
    <dimension measure="1" name="Measures" uniqueName="[Measures]" caption="Measures"/>
    <dimension name="Peaje" uniqueName="[Peaje]" caption="Peaje"/>
  </dimensions>
  <extLst>
    <ext xmlns:x14="http://schemas.microsoft.com/office/spreadsheetml/2009/9/main" uri="{725AE2AE-9491-48be-B2B4-4EB974FC3084}">
      <x14:pivotCacheDefinition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Andres Gomez Polo" refreshedDate="44136.723339930555" backgroundQuery="1" createdVersion="6" refreshedVersion="6" minRefreshableVersion="3" recordCount="0" xr:uid="{E0F6712D-CF73-4643-B5E0-5CDFB393F793}">
  <cacheSource type="external" connectionId="1"/>
  <cacheFields count="4">
    <cacheField name="[Peaje.Departamento].[Departamento]" caption="Departamento" numFmtId="0" hierarchy="17" level="1">
      <sharedItems count="9">
        <s v="[Peaje.Departamento].[Atlantico]" c="Atlantico"/>
        <s v="[Peaje.Departamento].[Bolivar]" c="Bolivar"/>
        <s v="[Peaje.Departamento].[Boyaca]" c="Boyaca"/>
        <s v="[Peaje.Departamento].[Caldas]" c="Caldas"/>
        <s v="[Peaje.Departamento].[Cundinamarca]" u="1" c="Cundinamarca"/>
        <s v="[Peaje.Departamento].[Valle del Cauca]" u="1" c="Valle del Cauca"/>
        <s v="[Peaje.Departamento].[Cesar]" u="1" c="Cesar"/>
        <s v="[Peaje.Departamento].[Sucre]" u="1" c="Sucre"/>
        <s v="[Peaje.Departamento].[Cordoba]" u="1" c="Cordoba"/>
      </sharedItems>
    </cacheField>
    <cacheField name="[Fecha.Anio].[Anio]" caption="Anio" numFmtId="0" level="1">
      <sharedItems count="2">
        <s v="[Fecha.Anio].[2016]" c="2016"/>
        <s v="[Fecha.Anio].[2018]" c="2018"/>
      </sharedItems>
    </cacheField>
    <cacheField name="[Measures].[Tráfico]" caption="Tráfico" numFmtId="0" hierarchy="28" level="32767"/>
    <cacheField name="[Fecha.Mes].[Mes]" caption="Mes" numFmtId="0" hierarchy="3" level="1">
      <sharedItems count="12">
        <s v="[Fecha.Mes].[Abril]" c="Abril"/>
        <s v="[Fecha.Mes].[Agosto]" c="Agosto"/>
        <s v="[Fecha.Mes].[Diciembre]" c="Diciembre"/>
        <s v="[Fecha.Mes].[Enero]" c="Enero"/>
        <s v="[Fecha.Mes].[Febreo]" c="Febreo"/>
        <s v="[Fecha.Mes].[Julio]" c="Julio"/>
        <s v="[Fecha.Mes].[Junio]" c="Junio"/>
        <s v="[Fecha.Mes].[Marzo]" c="Marzo"/>
        <s v="[Fecha.Mes].[Mayo]" c="Mayo"/>
        <s v="[Fecha.Mes].[Noviembre]" c="Noviembre"/>
        <s v="[Fecha.Mes].[Octubre]" c="Octubre"/>
        <s v="[Fecha.Mes].[Septiembre]" c="Septiembre"/>
      </sharedItems>
    </cacheField>
  </cacheFields>
  <cacheHierarchies count="29">
    <cacheHierarchy uniqueName="[Fecha.Anio]" caption="Anio" defaultMemberUniqueName="[Fecha.Anio].[All Fecha.Anios]" allUniqueName="[Fecha.Anio].[All Fecha.Anios]" dimensionUniqueName="[Fecha]" count="2" unbalanced="0">
      <fieldsUsage count="2">
        <fieldUsage x="-1"/>
        <fieldUsage x="1"/>
      </fieldsUsage>
    </cacheHierarchy>
    <cacheHierarchy uniqueName="[Fecha.Cod fecha]" caption="Cod fecha" defaultMemberUniqueName="[Fecha.Cod fecha].[All Fecha.Cod fechas]" allUniqueName="[Fecha.Cod fecha].[All Fecha.Cod fechas]" dimensionUniqueName="[Fecha]" count="0" unbalanced="0"/>
    <cacheHierarchy uniqueName="[Fecha.Cuadrimestre]" caption="Cuadrimestre" defaultMemberUniqueName="[Fecha.Cuadrimestre].[All Fecha.Cuadrimestres]" allUniqueName="[Fecha.Cuadrimestre].[All Fecha.Cuadrimestres]" dimensionUniqueName="[Fecha]" count="0" unbalanced="0"/>
    <cacheHierarchy uniqueName="[Fecha.Mes]" caption="Mes" defaultMemberUniqueName="[Fecha.Mes].[All Fecha.Mess]" allUniqueName="[Fecha.Mes].[All Fecha.Mess]" dimensionUniqueName="[Fecha]" count="2" unbalanced="0">
      <fieldsUsage count="2">
        <fieldUsage x="-1"/>
        <fieldUsage x="3"/>
      </fieldsUsage>
    </cacheHierarchy>
    <cacheHierarchy uniqueName="[Fecha.Semestre]" caption="Semestre" defaultMemberUniqueName="[Fecha.Semestre].[All Fecha.Semestres]" allUniqueName="[Fecha.Semestre].[All Fecha.Semestres]" dimensionUniqueName="[Fecha]" count="0" unbalanced="0"/>
    <cacheHierarchy uniqueName="[Fecha.Trimestre]" caption="Trimestre" defaultMemberUniqueName="[Fecha.Trimestre].[All Fecha.Trimestres]" allUniqueName="[Fecha.Trimestre].[All Fecha.Trimestres]" dimensionUniqueName="[Fecha]" count="0" unbalanced="0"/>
    <cacheHierarchy uniqueName="[Peaje.Admon]" caption="Admon" defaultMemberUniqueName="[Peaje.Admon].[All Peaje.Admons]" allUniqueName="[Peaje.Admon].[All Peaje.Admons]" dimensionUniqueName="[Peaje]" count="0" unbalanced="0"/>
    <cacheHierarchy uniqueName="[Peaje.Cat 1]" caption="Cat 1" defaultMemberUniqueName="[Peaje.Cat 1].[All Peaje.Cat 1s]" allUniqueName="[Peaje.Cat 1].[All Peaje.Cat 1s]" dimensionUniqueName="[Peaje]" count="0" unbalanced="0"/>
    <cacheHierarchy uniqueName="[Peaje.Cat 2]" caption="Cat 2" defaultMemberUniqueName="[Peaje.Cat 2].[All Peaje.Cat 2s]" allUniqueName="[Peaje.Cat 2].[All Peaje.Cat 2s]" dimensionUniqueName="[Peaje]" count="0" unbalanced="0"/>
    <cacheHierarchy uniqueName="[Peaje.Cat 3]" caption="Cat 3" defaultMemberUniqueName="[Peaje.Cat 3].[All Peaje.Cat 3s]" allUniqueName="[Peaje.Cat 3].[All Peaje.Cat 3s]" dimensionUniqueName="[Peaje]" count="0" unbalanced="0"/>
    <cacheHierarchy uniqueName="[Peaje.Cat 4]" caption="Cat 4" defaultMemberUniqueName="[Peaje.Cat 4].[All Peaje.Cat 4s]" allUniqueName="[Peaje.Cat 4].[All Peaje.Cat 4s]" dimensionUniqueName="[Peaje]" count="0" unbalanced="0"/>
    <cacheHierarchy uniqueName="[Peaje.Cat 5]" caption="Cat 5" defaultMemberUniqueName="[Peaje.Cat 5].[All Peaje.Cat 5s]" allUniqueName="[Peaje.Cat 5].[All Peaje.Cat 5s]" dimensionUniqueName="[Peaje]" count="0" unbalanced="0"/>
    <cacheHierarchy uniqueName="[Peaje.Cat 6]" caption="Cat 6" defaultMemberUniqueName="[Peaje.Cat 6].[All Peaje.Cat 6s]" allUniqueName="[Peaje.Cat 6].[All Peaje.Cat 6s]" dimensionUniqueName="[Peaje]" count="0" unbalanced="0"/>
    <cacheHierarchy uniqueName="[Peaje.Cat 7]" caption="Cat 7" defaultMemberUniqueName="[Peaje.Cat 7].[All Peaje.Cat 7s]" allUniqueName="[Peaje.Cat 7].[All Peaje.Cat 7s]" dimensionUniqueName="[Peaje]" count="0" unbalanced="0"/>
    <cacheHierarchy uniqueName="[Peaje.Cat 8]" caption="Cat 8" defaultMemberUniqueName="[Peaje.Cat 8].[All Peaje.Cat 8s]" allUniqueName="[Peaje.Cat 8].[All Peaje.Cat 8s]" dimensionUniqueName="[Peaje]" count="0" unbalanced="0"/>
    <cacheHierarchy uniqueName="[Peaje.Cat 9]" caption="Cat 9" defaultMemberUniqueName="[Peaje.Cat 9].[All Peaje.Cat 9s]" allUniqueName="[Peaje.Cat 9].[All Peaje.Cat 9s]" dimensionUniqueName="[Peaje]" count="0" unbalanced="0"/>
    <cacheHierarchy uniqueName="[Peaje.Cod via]" caption="Cod via" defaultMemberUniqueName="[Peaje.Cod via].[All Peaje.Cod vias]" allUniqueName="[Peaje.Cod via].[All Peaje.Cod vias]" dimensionUniqueName="[Peaje]" count="0" unbalanced="0"/>
    <cacheHierarchy uniqueName="[Peaje.Departamento]" caption="Departamento" defaultMemberUniqueName="[Peaje.Departamento].[All Peaje.Departamentos]" allUniqueName="[Peaje.Departamento].[All Peaje.Departamentos]" dimensionUniqueName="[Peaje]" count="2" unbalanced="0">
      <fieldsUsage count="2">
        <fieldUsage x="-1"/>
        <fieldUsage x="0"/>
      </fieldsUsage>
    </cacheHierarchy>
    <cacheHierarchy uniqueName="[Peaje.Eje adic 2]" caption="Eje adic 2" defaultMemberUniqueName="[Peaje.Eje adic 2].[All Peaje.Eje adic 2s]" allUniqueName="[Peaje.Eje adic 2].[All Peaje.Eje adic 2s]" dimensionUniqueName="[Peaje]" count="0" unbalanced="0"/>
    <cacheHierarchy uniqueName="[Peaje.Eje adicio]" caption="Eje adicio" defaultMemberUniqueName="[Peaje.Eje adicio].[All Peaje.Eje adicios]" allUniqueName="[Peaje.Eje adicio].[All Peaje.Eje adicios]" dimensionUniqueName="[Peaje]" count="0" unbalanced="0"/>
    <cacheHierarchy uniqueName="[Peaje.Gcd departamento]" caption="Gcd departamento" defaultMemberUniqueName="[Peaje.Gcd departamento].[All Peaje.Gcd departamentos]" allUniqueName="[Peaje.Gcd departamento].[All Peaje.Gcd departamentos]" dimensionUniqueName="[Peaje]" count="0" unbalanced="0"/>
    <cacheHierarchy uniqueName="[Peaje.Latitud]" caption="Latitud" defaultMemberUniqueName="[Peaje.Latitud].[All Peaje.Latituds]" allUniqueName="[Peaje.Latitud].[All Peaje.Latituds]" dimensionUniqueName="[Peaje]" count="0" unbalanced="0"/>
    <cacheHierarchy uniqueName="[Peaje.Longitud]" caption="Longitud" defaultMemberUniqueName="[Peaje.Longitud].[All Peaje.Longituds]" allUniqueName="[Peaje.Longitud].[All Peaje.Longituds]" dimensionUniqueName="[Peaje]" count="0" unbalanced="0"/>
    <cacheHierarchy uniqueName="[Peaje.Nombre]" caption="Nombre" defaultMemberUniqueName="[Peaje.Nombre].[All Peaje.Nombres]" allUniqueName="[Peaje.Nombre].[All Peaje.Nombres]" dimensionUniqueName="[Peaje]" count="0" unbalanced="0"/>
    <cacheHierarchy uniqueName="[Peaje.Responsable]" caption="Responsable" defaultMemberUniqueName="[Peaje.Responsable].[All Peaje.Responsables]" allUniqueName="[Peaje.Responsable].[All Peaje.Responsables]" dimensionUniqueName="[Peaje]" count="0" unbalanced="0"/>
    <cacheHierarchy uniqueName="[Measures].[Promedio Recaudo]" caption="Promedio Recaudo" measure="1" displayFolder="" measureGroup="" count="0"/>
    <cacheHierarchy uniqueName="[Measures].[Promedio Tráfico]" caption="Promedio Tráfico" measure="1" displayFolder="" measureGroup="" count="0"/>
    <cacheHierarchy uniqueName="[Measures].[Recaudo]" caption="Recaudo" measure="1" displayFolder="" measureGroup="" count="0"/>
    <cacheHierarchy uniqueName="[Measures].[Tráfico]" caption="Tráfico" measure="1" displayFolder="" measureGroup="" count="0" oneField="1">
      <fieldsUsage count="1">
        <fieldUsage x="2"/>
      </fieldsUsage>
    </cacheHierarchy>
  </cacheHierarchies>
  <kpis count="0"/>
  <dimensions count="3">
    <dimension name="Fecha" uniqueName="[Fecha]" caption="Fecha"/>
    <dimension measure="1" name="Measures" uniqueName="[Measures]" caption="Measures"/>
    <dimension name="Peaje" uniqueName="[Peaje]" caption="Peaje"/>
  </dimensions>
  <extLst>
    <ext xmlns:x14="http://schemas.microsoft.com/office/spreadsheetml/2009/9/main" uri="{725AE2AE-9491-48be-B2B4-4EB974FC3084}">
      <x14:pivotCacheDefinition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Andres Gomez Polo" refreshedDate="44136.725722685187" backgroundQuery="1" createdVersion="6" refreshedVersion="6" minRefreshableVersion="3" recordCount="0" xr:uid="{C3079560-1AAF-4615-989B-7D01DA3B4847}">
  <cacheSource type="external" connectionId="1"/>
  <cacheFields count="4">
    <cacheField name="[Fecha.Anio].[Anio]" caption="Anio" numFmtId="0" level="1">
      <sharedItems count="3">
        <s v="[Fecha.Anio].[2016]" c="2016"/>
        <s v="[Fecha.Anio].[2017]" c="2017"/>
        <s v="[Fecha.Anio].[2018]" c="2018"/>
      </sharedItems>
    </cacheField>
    <cacheField name="[Fecha.Mes].[Mes]" caption="Mes" numFmtId="0" hierarchy="3" level="1">
      <sharedItems count="12">
        <s v="[Fecha.Mes].[Abril]" c="Abril"/>
        <s v="[Fecha.Mes].[Agosto]" c="Agosto"/>
        <s v="[Fecha.Mes].[Diciembre]" c="Diciembre"/>
        <s v="[Fecha.Mes].[Enero]" c="Enero"/>
        <s v="[Fecha.Mes].[Febreo]" c="Febreo"/>
        <s v="[Fecha.Mes].[Julio]" c="Julio"/>
        <s v="[Fecha.Mes].[Junio]" c="Junio"/>
        <s v="[Fecha.Mes].[Marzo]" c="Marzo"/>
        <s v="[Fecha.Mes].[Mayo]" c="Mayo"/>
        <s v="[Fecha.Mes].[Noviembre]" c="Noviembre"/>
        <s v="[Fecha.Mes].[Octubre]" c="Octubre"/>
        <s v="[Fecha.Mes].[Septiembre]" c="Septiembre"/>
      </sharedItems>
    </cacheField>
    <cacheField name="[Measures].[Recaudo]" caption="Recaudo" numFmtId="0" hierarchy="27" level="32767"/>
    <cacheField name="[Peaje.Departamento].[Departamento]" caption="Departamento" numFmtId="0" hierarchy="17" level="1">
      <sharedItems count="5">
        <s v="[Peaje.Departamento].[Antioquia]" c="Antioquia"/>
        <s v="[Peaje.Departamento].[Atlantico]" c="Atlantico"/>
        <s v="[Peaje.Departamento].[Bolivar]" c="Bolivar"/>
        <s v="[Peaje.Departamento].[Caldas]" u="1" c="Caldas"/>
        <s v="[Peaje.Departamento].[Boyaca]" u="1" c="Boyaca"/>
      </sharedItems>
    </cacheField>
  </cacheFields>
  <cacheHierarchies count="29">
    <cacheHierarchy uniqueName="[Fecha.Anio]" caption="Anio" defaultMemberUniqueName="[Fecha.Anio].[All Fecha.Anios]" allUniqueName="[Fecha.Anio].[All Fecha.Anios]" dimensionUniqueName="[Fecha]" count="2" unbalanced="0">
      <fieldsUsage count="2">
        <fieldUsage x="-1"/>
        <fieldUsage x="0"/>
      </fieldsUsage>
    </cacheHierarchy>
    <cacheHierarchy uniqueName="[Fecha.Cod fecha]" caption="Cod fecha" defaultMemberUniqueName="[Fecha.Cod fecha].[All Fecha.Cod fechas]" allUniqueName="[Fecha.Cod fecha].[All Fecha.Cod fechas]" dimensionUniqueName="[Fecha]" count="2" unbalanced="0"/>
    <cacheHierarchy uniqueName="[Fecha.Cuadrimestre]" caption="Cuadrimestre" defaultMemberUniqueName="[Fecha.Cuadrimestre].[All Fecha.Cuadrimestres]" allUniqueName="[Fecha.Cuadrimestre].[All Fecha.Cuadrimestres]" dimensionUniqueName="[Fecha]" count="2" unbalanced="0"/>
    <cacheHierarchy uniqueName="[Fecha.Mes]" caption="Mes" defaultMemberUniqueName="[Fecha.Mes].[All Fecha.Mess]" allUniqueName="[Fecha.Mes].[All Fecha.Mess]" dimensionUniqueName="[Fecha]" count="2" unbalanced="0">
      <fieldsUsage count="2">
        <fieldUsage x="-1"/>
        <fieldUsage x="1"/>
      </fieldsUsage>
    </cacheHierarchy>
    <cacheHierarchy uniqueName="[Fecha.Semestre]" caption="Semestre" defaultMemberUniqueName="[Fecha.Semestre].[All Fecha.Semestres]" allUniqueName="[Fecha.Semestre].[All Fecha.Semestres]" dimensionUniqueName="[Fecha]" count="2" unbalanced="0"/>
    <cacheHierarchy uniqueName="[Fecha.Trimestre]" caption="Trimestre" defaultMemberUniqueName="[Fecha.Trimestre].[All Fecha.Trimestres]" allUniqueName="[Fecha.Trimestre].[All Fecha.Trimestres]" dimensionUniqueName="[Fecha]" count="2" unbalanced="0"/>
    <cacheHierarchy uniqueName="[Peaje.Admon]" caption="Admon" defaultMemberUniqueName="[Peaje.Admon].[All Peaje.Admons]" allUniqueName="[Peaje.Admon].[All Peaje.Admons]" dimensionUniqueName="[Peaje]" count="2" unbalanced="0"/>
    <cacheHierarchy uniqueName="[Peaje.Cat 1]" caption="Cat 1" defaultMemberUniqueName="[Peaje.Cat 1].[All Peaje.Cat 1s]" allUniqueName="[Peaje.Cat 1].[All Peaje.Cat 1s]" dimensionUniqueName="[Peaje]" count="2" unbalanced="0"/>
    <cacheHierarchy uniqueName="[Peaje.Cat 2]" caption="Cat 2" defaultMemberUniqueName="[Peaje.Cat 2].[All Peaje.Cat 2s]" allUniqueName="[Peaje.Cat 2].[All Peaje.Cat 2s]" dimensionUniqueName="[Peaje]" count="2" unbalanced="0"/>
    <cacheHierarchy uniqueName="[Peaje.Cat 3]" caption="Cat 3" defaultMemberUniqueName="[Peaje.Cat 3].[All Peaje.Cat 3s]" allUniqueName="[Peaje.Cat 3].[All Peaje.Cat 3s]" dimensionUniqueName="[Peaje]" count="2" unbalanced="0"/>
    <cacheHierarchy uniqueName="[Peaje.Cat 4]" caption="Cat 4" defaultMemberUniqueName="[Peaje.Cat 4].[All Peaje.Cat 4s]" allUniqueName="[Peaje.Cat 4].[All Peaje.Cat 4s]" dimensionUniqueName="[Peaje]" count="2" unbalanced="0"/>
    <cacheHierarchy uniqueName="[Peaje.Cat 5]" caption="Cat 5" defaultMemberUniqueName="[Peaje.Cat 5].[All Peaje.Cat 5s]" allUniqueName="[Peaje.Cat 5].[All Peaje.Cat 5s]" dimensionUniqueName="[Peaje]" count="2" unbalanced="0"/>
    <cacheHierarchy uniqueName="[Peaje.Cat 6]" caption="Cat 6" defaultMemberUniqueName="[Peaje.Cat 6].[All Peaje.Cat 6s]" allUniqueName="[Peaje.Cat 6].[All Peaje.Cat 6s]" dimensionUniqueName="[Peaje]" count="2" unbalanced="0"/>
    <cacheHierarchy uniqueName="[Peaje.Cat 7]" caption="Cat 7" defaultMemberUniqueName="[Peaje.Cat 7].[All Peaje.Cat 7s]" allUniqueName="[Peaje.Cat 7].[All Peaje.Cat 7s]" dimensionUniqueName="[Peaje]" count="2" unbalanced="0"/>
    <cacheHierarchy uniqueName="[Peaje.Cat 8]" caption="Cat 8" defaultMemberUniqueName="[Peaje.Cat 8].[All Peaje.Cat 8s]" allUniqueName="[Peaje.Cat 8].[All Peaje.Cat 8s]" dimensionUniqueName="[Peaje]" count="2" unbalanced="0"/>
    <cacheHierarchy uniqueName="[Peaje.Cat 9]" caption="Cat 9" defaultMemberUniqueName="[Peaje.Cat 9].[All Peaje.Cat 9s]" allUniqueName="[Peaje.Cat 9].[All Peaje.Cat 9s]" dimensionUniqueName="[Peaje]" count="2" unbalanced="0"/>
    <cacheHierarchy uniqueName="[Peaje.Cod via]" caption="Cod via" defaultMemberUniqueName="[Peaje.Cod via].[All Peaje.Cod vias]" allUniqueName="[Peaje.Cod via].[All Peaje.Cod vias]" dimensionUniqueName="[Peaje]" count="2" unbalanced="0"/>
    <cacheHierarchy uniqueName="[Peaje.Departamento]" caption="Departamento" defaultMemberUniqueName="[Peaje.Departamento].[All Peaje.Departamentos]" allUniqueName="[Peaje.Departamento].[All Peaje.Departamentos]" dimensionUniqueName="[Peaje]" count="2" unbalanced="0">
      <fieldsUsage count="2">
        <fieldUsage x="-1"/>
        <fieldUsage x="3"/>
      </fieldsUsage>
    </cacheHierarchy>
    <cacheHierarchy uniqueName="[Peaje.Eje adic 2]" caption="Eje adic 2" defaultMemberUniqueName="[Peaje.Eje adic 2].[All Peaje.Eje adic 2s]" allUniqueName="[Peaje.Eje adic 2].[All Peaje.Eje adic 2s]" dimensionUniqueName="[Peaje]" count="2" unbalanced="0"/>
    <cacheHierarchy uniqueName="[Peaje.Eje adicio]" caption="Eje adicio" defaultMemberUniqueName="[Peaje.Eje adicio].[All Peaje.Eje adicios]" allUniqueName="[Peaje.Eje adicio].[All Peaje.Eje adicios]" dimensionUniqueName="[Peaje]" count="2" unbalanced="0"/>
    <cacheHierarchy uniqueName="[Peaje.Gcd departamento]" caption="Gcd departamento" defaultMemberUniqueName="[Peaje.Gcd departamento].[All Peaje.Gcd departamentos]" allUniqueName="[Peaje.Gcd departamento].[All Peaje.Gcd departamentos]" dimensionUniqueName="[Peaje]" count="2" unbalanced="0"/>
    <cacheHierarchy uniqueName="[Peaje.Latitud]" caption="Latitud" defaultMemberUniqueName="[Peaje.Latitud].[All Peaje.Latituds]" allUniqueName="[Peaje.Latitud].[All Peaje.Latituds]" dimensionUniqueName="[Peaje]" count="2" unbalanced="0"/>
    <cacheHierarchy uniqueName="[Peaje.Longitud]" caption="Longitud" defaultMemberUniqueName="[Peaje.Longitud].[All Peaje.Longituds]" allUniqueName="[Peaje.Longitud].[All Peaje.Longituds]" dimensionUniqueName="[Peaje]" count="2" unbalanced="0"/>
    <cacheHierarchy uniqueName="[Peaje.Nombre]" caption="Nombre" defaultMemberUniqueName="[Peaje.Nombre].[All Peaje.Nombres]" allUniqueName="[Peaje.Nombre].[All Peaje.Nombres]" dimensionUniqueName="[Peaje]" count="2" unbalanced="0"/>
    <cacheHierarchy uniqueName="[Peaje.Responsable]" caption="Responsable" defaultMemberUniqueName="[Peaje.Responsable].[All Peaje.Responsables]" allUniqueName="[Peaje.Responsable].[All Peaje.Responsables]" dimensionUniqueName="[Peaje]" count="2" unbalanced="0"/>
    <cacheHierarchy uniqueName="[Measures].[Promedio Recaudo]" caption="Promedio Recaudo" measure="1" displayFolder="" measureGroup="" count="0"/>
    <cacheHierarchy uniqueName="[Measures].[Promedio Tráfico]" caption="Promedio Tráfico" measure="1" displayFolder="" measureGroup="" count="0"/>
    <cacheHierarchy uniqueName="[Measures].[Recaudo]" caption="Recaudo" measure="1" displayFolder="" measureGroup="" count="0" oneField="1">
      <fieldsUsage count="1">
        <fieldUsage x="2"/>
      </fieldsUsage>
    </cacheHierarchy>
    <cacheHierarchy uniqueName="[Measures].[Tráfico]" caption="Tráfico" measure="1" displayFolder="" measureGroup="" count="0"/>
  </cacheHierarchies>
  <kpis count="0"/>
  <dimensions count="3">
    <dimension name="Fecha" uniqueName="[Fecha]" caption="Fecha"/>
    <dimension measure="1" name="Measures" uniqueName="[Measures]" caption="Measures"/>
    <dimension name="Peaje" uniqueName="[Peaje]" caption="Peaje"/>
  </dimensions>
  <extLst>
    <ext xmlns:x14="http://schemas.microsoft.com/office/spreadsheetml/2009/9/main" uri="{725AE2AE-9491-48be-B2B4-4EB974FC3084}">
      <x14:pivotCacheDefinition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Andres Gomez Polo" refreshedDate="44136.738540046295" backgroundQuery="1" createdVersion="6" refreshedVersion="6" minRefreshableVersion="3" recordCount="0" xr:uid="{F79B0E7B-AAAF-4DAC-B077-C1E781EC9A0E}">
  <cacheSource type="external" connectionId="1"/>
  <cacheFields count="4">
    <cacheField name="[Fecha.Anio].[Anio]" caption="Anio" numFmtId="0" level="1">
      <sharedItems count="3">
        <s v="[Fecha.Anio].[2016]" c="2016"/>
        <s v="[Fecha.Anio].[2017]" c="2017"/>
        <s v="[Fecha.Anio].[2018]" c="2018"/>
      </sharedItems>
    </cacheField>
    <cacheField name="[Fecha.Mes].[Mes]" caption="Mes" numFmtId="0" hierarchy="3" level="1">
      <sharedItems count="12">
        <s v="[Fecha.Mes].[Abril]" c="Abril"/>
        <s v="[Fecha.Mes].[Agosto]" c="Agosto"/>
        <s v="[Fecha.Mes].[Diciembre]" c="Diciembre"/>
        <s v="[Fecha.Mes].[Enero]" c="Enero"/>
        <s v="[Fecha.Mes].[Febreo]" c="Febreo"/>
        <s v="[Fecha.Mes].[Julio]" c="Julio"/>
        <s v="[Fecha.Mes].[Junio]" c="Junio"/>
        <s v="[Fecha.Mes].[Marzo]" c="Marzo"/>
        <s v="[Fecha.Mes].[Mayo]" c="Mayo"/>
        <s v="[Fecha.Mes].[Noviembre]" c="Noviembre"/>
        <s v="[Fecha.Mes].[Octubre]" c="Octubre"/>
        <s v="[Fecha.Mes].[Septiembre]" c="Septiembre"/>
      </sharedItems>
    </cacheField>
    <cacheField name="[Measures].[Recaudo]" caption="Recaudo" numFmtId="0" hierarchy="27" level="32767"/>
    <cacheField name="[Peaje.Nombre].[Nombre]" caption="Nombre" numFmtId="0" hierarchy="23" level="1">
      <sharedItems count="5">
        <s v="[Peaje.Nombre].[BAYUNCA]" c="BAYUNCA"/>
        <s v="[Peaje.Nombre].[PUERTO COLOMBIA]" c="PUERTO COLOMBIA"/>
        <s v="[Peaje.Nombre].[SAN ONOFRE]" c="SAN ONOFRE"/>
        <s v="[Peaje.Nombre].[TURBACO]" c="TURBACO"/>
        <s v="[Peaje.Nombre].[ALTO PINO]" u="1" c="ALTO PINO"/>
      </sharedItems>
    </cacheField>
  </cacheFields>
  <cacheHierarchies count="29">
    <cacheHierarchy uniqueName="[Fecha.Anio]" caption="Anio" defaultMemberUniqueName="[Fecha.Anio].[All Fecha.Anios]" allUniqueName="[Fecha.Anio].[All Fecha.Anios]" dimensionUniqueName="[Fecha]" count="2" unbalanced="0">
      <fieldsUsage count="2">
        <fieldUsage x="-1"/>
        <fieldUsage x="0"/>
      </fieldsUsage>
    </cacheHierarchy>
    <cacheHierarchy uniqueName="[Fecha.Cod fecha]" caption="Cod fecha" defaultMemberUniqueName="[Fecha.Cod fecha].[All Fecha.Cod fechas]" allUniqueName="[Fecha.Cod fecha].[All Fecha.Cod fechas]" dimensionUniqueName="[Fecha]" count="0" unbalanced="0"/>
    <cacheHierarchy uniqueName="[Fecha.Cuadrimestre]" caption="Cuadrimestre" defaultMemberUniqueName="[Fecha.Cuadrimestre].[All Fecha.Cuadrimestres]" allUniqueName="[Fecha.Cuadrimestre].[All Fecha.Cuadrimestres]" dimensionUniqueName="[Fecha]" count="0" unbalanced="0"/>
    <cacheHierarchy uniqueName="[Fecha.Mes]" caption="Mes" defaultMemberUniqueName="[Fecha.Mes].[All Fecha.Mess]" allUniqueName="[Fecha.Mes].[All Fecha.Mess]" dimensionUniqueName="[Fecha]" count="2" unbalanced="0">
      <fieldsUsage count="2">
        <fieldUsage x="-1"/>
        <fieldUsage x="1"/>
      </fieldsUsage>
    </cacheHierarchy>
    <cacheHierarchy uniqueName="[Fecha.Semestre]" caption="Semestre" defaultMemberUniqueName="[Fecha.Semestre].[All Fecha.Semestres]" allUniqueName="[Fecha.Semestre].[All Fecha.Semestres]" dimensionUniqueName="[Fecha]" count="0" unbalanced="0"/>
    <cacheHierarchy uniqueName="[Fecha.Trimestre]" caption="Trimestre" defaultMemberUniqueName="[Fecha.Trimestre].[All Fecha.Trimestres]" allUniqueName="[Fecha.Trimestre].[All Fecha.Trimestres]" dimensionUniqueName="[Fecha]" count="0" unbalanced="0"/>
    <cacheHierarchy uniqueName="[Peaje.Admon]" caption="Admon" defaultMemberUniqueName="[Peaje.Admon].[All Peaje.Admons]" allUniqueName="[Peaje.Admon].[All Peaje.Admons]" dimensionUniqueName="[Peaje]" count="2" unbalanced="0"/>
    <cacheHierarchy uniqueName="[Peaje.Cat 1]" caption="Cat 1" defaultMemberUniqueName="[Peaje.Cat 1].[All Peaje.Cat 1s]" allUniqueName="[Peaje.Cat 1].[All Peaje.Cat 1s]" dimensionUniqueName="[Peaje]" count="0" unbalanced="0"/>
    <cacheHierarchy uniqueName="[Peaje.Cat 2]" caption="Cat 2" defaultMemberUniqueName="[Peaje.Cat 2].[All Peaje.Cat 2s]" allUniqueName="[Peaje.Cat 2].[All Peaje.Cat 2s]" dimensionUniqueName="[Peaje]" count="0" unbalanced="0"/>
    <cacheHierarchy uniqueName="[Peaje.Cat 3]" caption="Cat 3" defaultMemberUniqueName="[Peaje.Cat 3].[All Peaje.Cat 3s]" allUniqueName="[Peaje.Cat 3].[All Peaje.Cat 3s]" dimensionUniqueName="[Peaje]" count="0" unbalanced="0"/>
    <cacheHierarchy uniqueName="[Peaje.Cat 4]" caption="Cat 4" defaultMemberUniqueName="[Peaje.Cat 4].[All Peaje.Cat 4s]" allUniqueName="[Peaje.Cat 4].[All Peaje.Cat 4s]" dimensionUniqueName="[Peaje]" count="0" unbalanced="0"/>
    <cacheHierarchy uniqueName="[Peaje.Cat 5]" caption="Cat 5" defaultMemberUniqueName="[Peaje.Cat 5].[All Peaje.Cat 5s]" allUniqueName="[Peaje.Cat 5].[All Peaje.Cat 5s]" dimensionUniqueName="[Peaje]" count="0" unbalanced="0"/>
    <cacheHierarchy uniqueName="[Peaje.Cat 6]" caption="Cat 6" defaultMemberUniqueName="[Peaje.Cat 6].[All Peaje.Cat 6s]" allUniqueName="[Peaje.Cat 6].[All Peaje.Cat 6s]" dimensionUniqueName="[Peaje]" count="0" unbalanced="0"/>
    <cacheHierarchy uniqueName="[Peaje.Cat 7]" caption="Cat 7" defaultMemberUniqueName="[Peaje.Cat 7].[All Peaje.Cat 7s]" allUniqueName="[Peaje.Cat 7].[All Peaje.Cat 7s]" dimensionUniqueName="[Peaje]" count="0" unbalanced="0"/>
    <cacheHierarchy uniqueName="[Peaje.Cat 8]" caption="Cat 8" defaultMemberUniqueName="[Peaje.Cat 8].[All Peaje.Cat 8s]" allUniqueName="[Peaje.Cat 8].[All Peaje.Cat 8s]" dimensionUniqueName="[Peaje]" count="0" unbalanced="0"/>
    <cacheHierarchy uniqueName="[Peaje.Cat 9]" caption="Cat 9" defaultMemberUniqueName="[Peaje.Cat 9].[All Peaje.Cat 9s]" allUniqueName="[Peaje.Cat 9].[All Peaje.Cat 9s]" dimensionUniqueName="[Peaje]" count="0" unbalanced="0"/>
    <cacheHierarchy uniqueName="[Peaje.Cod via]" caption="Cod via" defaultMemberUniqueName="[Peaje.Cod via].[All Peaje.Cod vias]" allUniqueName="[Peaje.Cod via].[All Peaje.Cod vias]" dimensionUniqueName="[Peaje]" count="0" unbalanced="0"/>
    <cacheHierarchy uniqueName="[Peaje.Departamento]" caption="Departamento" defaultMemberUniqueName="[Peaje.Departamento].[All Peaje.Departamentos]" allUniqueName="[Peaje.Departamento].[All Peaje.Departamentos]" dimensionUniqueName="[Peaje]" count="0" unbalanced="0"/>
    <cacheHierarchy uniqueName="[Peaje.Eje adic 2]" caption="Eje adic 2" defaultMemberUniqueName="[Peaje.Eje adic 2].[All Peaje.Eje adic 2s]" allUniqueName="[Peaje.Eje adic 2].[All Peaje.Eje adic 2s]" dimensionUniqueName="[Peaje]" count="0" unbalanced="0"/>
    <cacheHierarchy uniqueName="[Peaje.Eje adicio]" caption="Eje adicio" defaultMemberUniqueName="[Peaje.Eje adicio].[All Peaje.Eje adicios]" allUniqueName="[Peaje.Eje adicio].[All Peaje.Eje adicios]" dimensionUniqueName="[Peaje]" count="0" unbalanced="0"/>
    <cacheHierarchy uniqueName="[Peaje.Gcd departamento]" caption="Gcd departamento" defaultMemberUniqueName="[Peaje.Gcd departamento].[All Peaje.Gcd departamentos]" allUniqueName="[Peaje.Gcd departamento].[All Peaje.Gcd departamentos]" dimensionUniqueName="[Peaje]" count="0" unbalanced="0"/>
    <cacheHierarchy uniqueName="[Peaje.Latitud]" caption="Latitud" defaultMemberUniqueName="[Peaje.Latitud].[All Peaje.Latituds]" allUniqueName="[Peaje.Latitud].[All Peaje.Latituds]" dimensionUniqueName="[Peaje]" count="0" unbalanced="0"/>
    <cacheHierarchy uniqueName="[Peaje.Longitud]" caption="Longitud" defaultMemberUniqueName="[Peaje.Longitud].[All Peaje.Longituds]" allUniqueName="[Peaje.Longitud].[All Peaje.Longituds]" dimensionUniqueName="[Peaje]" count="0" unbalanced="0"/>
    <cacheHierarchy uniqueName="[Peaje.Nombre]" caption="Nombre" defaultMemberUniqueName="[Peaje.Nombre].[All Peaje.Nombres]" allUniqueName="[Peaje.Nombre].[All Peaje.Nombres]" dimensionUniqueName="[Peaje]" count="2" unbalanced="0">
      <fieldsUsage count="2">
        <fieldUsage x="-1"/>
        <fieldUsage x="3"/>
      </fieldsUsage>
    </cacheHierarchy>
    <cacheHierarchy uniqueName="[Peaje.Responsable]" caption="Responsable" defaultMemberUniqueName="[Peaje.Responsable].[All Peaje.Responsables]" allUniqueName="[Peaje.Responsable].[All Peaje.Responsables]" dimensionUniqueName="[Peaje]" count="0" unbalanced="0"/>
    <cacheHierarchy uniqueName="[Measures].[Promedio Recaudo]" caption="Promedio Recaudo" measure="1" displayFolder="" measureGroup="" count="0"/>
    <cacheHierarchy uniqueName="[Measures].[Promedio Tráfico]" caption="Promedio Tráfico" measure="1" displayFolder="" measureGroup="" count="0"/>
    <cacheHierarchy uniqueName="[Measures].[Recaudo]" caption="Recaudo" measure="1" displayFolder="" measureGroup="" count="0" oneField="1">
      <fieldsUsage count="1">
        <fieldUsage x="2"/>
      </fieldsUsage>
    </cacheHierarchy>
    <cacheHierarchy uniqueName="[Measures].[Tráfico]" caption="Tráfico" measure="1" displayFolder="" measureGroup="" count="0"/>
  </cacheHierarchies>
  <kpis count="0"/>
  <dimensions count="3">
    <dimension name="Fecha" uniqueName="[Fecha]" caption="Fecha"/>
    <dimension measure="1" name="Measures" uniqueName="[Measures]" caption="Measures"/>
    <dimension name="Peaje" uniqueName="[Peaje]" caption="Peaje"/>
  </dimensions>
  <extLst>
    <ext xmlns:x14="http://schemas.microsoft.com/office/spreadsheetml/2009/9/main" uri="{725AE2AE-9491-48be-B2B4-4EB974FC3084}">
      <x14:pivotCacheDefinition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Andres Gomez Polo" refreshedDate="44136.723321874997" backgroundQuery="1" createdVersion="3" refreshedVersion="6" minRefreshableVersion="3" recordCount="0" xr:uid="{13CD13AE-29D0-47E6-B964-09C11B6D3C45}">
  <cacheSource type="external" connectionId="1">
    <extLst>
      <ext xmlns:x14="http://schemas.microsoft.com/office/spreadsheetml/2009/9/main" uri="{F057638F-6D5F-4e77-A914-E7F072B9BCA8}">
        <x14:sourceConnection name="Conexión"/>
      </ext>
    </extLst>
  </cacheSource>
  <cacheFields count="0"/>
  <cacheHierarchies count="29">
    <cacheHierarchy uniqueName="[Fecha.Anio]" caption="Anio" defaultMemberUniqueName="[Fecha.Anio].[All Fecha.Anios]" allUniqueName="[Fecha.Anio].[All Fecha.Anios]" dimensionUniqueName="[Fecha]" count="0" unbalanced="0"/>
    <cacheHierarchy uniqueName="[Fecha.Cod fecha]" caption="Cod fecha" defaultMemberUniqueName="[Fecha.Cod fecha].[All Fecha.Cod fechas]" allUniqueName="[Fecha.Cod fecha].[All Fecha.Cod fechas]" dimensionUniqueName="[Fecha]" count="0" unbalanced="0"/>
    <cacheHierarchy uniqueName="[Fecha.Cuadrimestre]" caption="Cuadrimestre" defaultMemberUniqueName="[Fecha.Cuadrimestre].[All Fecha.Cuadrimestres]" allUniqueName="[Fecha.Cuadrimestre].[All Fecha.Cuadrimestres]" dimensionUniqueName="[Fecha]" count="0" unbalanced="0"/>
    <cacheHierarchy uniqueName="[Fecha.Mes]" caption="Mes" defaultMemberUniqueName="[Fecha.Mes].[All Fecha.Mess]" allUniqueName="[Fecha.Mes].[All Fecha.Mess]" dimensionUniqueName="[Fecha]" count="0" unbalanced="0"/>
    <cacheHierarchy uniqueName="[Fecha.Semestre]" caption="Semestre" defaultMemberUniqueName="[Fecha.Semestre].[All Fecha.Semestres]" allUniqueName="[Fecha.Semestre].[All Fecha.Semestres]" dimensionUniqueName="[Fecha]" count="0" unbalanced="0"/>
    <cacheHierarchy uniqueName="[Fecha.Trimestre]" caption="Trimestre" defaultMemberUniqueName="[Fecha.Trimestre].[All Fecha.Trimestres]" allUniqueName="[Fecha.Trimestre].[All Fecha.Trimestres]" dimensionUniqueName="[Fecha]" count="0" unbalanced="0"/>
    <cacheHierarchy uniqueName="[Peaje.Admon]" caption="Admon" defaultMemberUniqueName="[Peaje.Admon].[All Peaje.Admons]" allUniqueName="[Peaje.Admon].[All Peaje.Admons]" dimensionUniqueName="[Peaje]" count="0" unbalanced="0"/>
    <cacheHierarchy uniqueName="[Peaje.Cat 1]" caption="Cat 1" defaultMemberUniqueName="[Peaje.Cat 1].[All Peaje.Cat 1s]" allUniqueName="[Peaje.Cat 1].[All Peaje.Cat 1s]" dimensionUniqueName="[Peaje]" count="0" unbalanced="0"/>
    <cacheHierarchy uniqueName="[Peaje.Cat 2]" caption="Cat 2" defaultMemberUniqueName="[Peaje.Cat 2].[All Peaje.Cat 2s]" allUniqueName="[Peaje.Cat 2].[All Peaje.Cat 2s]" dimensionUniqueName="[Peaje]" count="0" unbalanced="0"/>
    <cacheHierarchy uniqueName="[Peaje.Cat 3]" caption="Cat 3" defaultMemberUniqueName="[Peaje.Cat 3].[All Peaje.Cat 3s]" allUniqueName="[Peaje.Cat 3].[All Peaje.Cat 3s]" dimensionUniqueName="[Peaje]" count="0" unbalanced="0"/>
    <cacheHierarchy uniqueName="[Peaje.Cat 4]" caption="Cat 4" defaultMemberUniqueName="[Peaje.Cat 4].[All Peaje.Cat 4s]" allUniqueName="[Peaje.Cat 4].[All Peaje.Cat 4s]" dimensionUniqueName="[Peaje]" count="0" unbalanced="0"/>
    <cacheHierarchy uniqueName="[Peaje.Cat 5]" caption="Cat 5" defaultMemberUniqueName="[Peaje.Cat 5].[All Peaje.Cat 5s]" allUniqueName="[Peaje.Cat 5].[All Peaje.Cat 5s]" dimensionUniqueName="[Peaje]" count="0" unbalanced="0"/>
    <cacheHierarchy uniqueName="[Peaje.Cat 6]" caption="Cat 6" defaultMemberUniqueName="[Peaje.Cat 6].[All Peaje.Cat 6s]" allUniqueName="[Peaje.Cat 6].[All Peaje.Cat 6s]" dimensionUniqueName="[Peaje]" count="0" unbalanced="0"/>
    <cacheHierarchy uniqueName="[Peaje.Cat 7]" caption="Cat 7" defaultMemberUniqueName="[Peaje.Cat 7].[All Peaje.Cat 7s]" allUniqueName="[Peaje.Cat 7].[All Peaje.Cat 7s]" dimensionUniqueName="[Peaje]" count="0" unbalanced="0"/>
    <cacheHierarchy uniqueName="[Peaje.Cat 8]" caption="Cat 8" defaultMemberUniqueName="[Peaje.Cat 8].[All Peaje.Cat 8s]" allUniqueName="[Peaje.Cat 8].[All Peaje.Cat 8s]" dimensionUniqueName="[Peaje]" count="0" unbalanced="0"/>
    <cacheHierarchy uniqueName="[Peaje.Cat 9]" caption="Cat 9" defaultMemberUniqueName="[Peaje.Cat 9].[All Peaje.Cat 9s]" allUniqueName="[Peaje.Cat 9].[All Peaje.Cat 9s]" dimensionUniqueName="[Peaje]" count="0" unbalanced="0"/>
    <cacheHierarchy uniqueName="[Peaje.Cod via]" caption="Cod via" defaultMemberUniqueName="[Peaje.Cod via].[All Peaje.Cod vias]" allUniqueName="[Peaje.Cod via].[All Peaje.Cod vias]" dimensionUniqueName="[Peaje]" count="0" unbalanced="0"/>
    <cacheHierarchy uniqueName="[Peaje.Departamento]" caption="Departamento" defaultMemberUniqueName="[Peaje.Departamento].[All Peaje.Departamentos]" allUniqueName="[Peaje.Departamento].[All Peaje.Departamentos]" dimensionUniqueName="[Peaje]" count="0" unbalanced="0"/>
    <cacheHierarchy uniqueName="[Peaje.Eje adic 2]" caption="Eje adic 2" defaultMemberUniqueName="[Peaje.Eje adic 2].[All Peaje.Eje adic 2s]" allUniqueName="[Peaje.Eje adic 2].[All Peaje.Eje adic 2s]" dimensionUniqueName="[Peaje]" count="0" unbalanced="0"/>
    <cacheHierarchy uniqueName="[Peaje.Eje adicio]" caption="Eje adicio" defaultMemberUniqueName="[Peaje.Eje adicio].[All Peaje.Eje adicios]" allUniqueName="[Peaje.Eje adicio].[All Peaje.Eje adicios]" dimensionUniqueName="[Peaje]" count="0" unbalanced="0"/>
    <cacheHierarchy uniqueName="[Peaje.Gcd departamento]" caption="Gcd departamento" defaultMemberUniqueName="[Peaje.Gcd departamento].[All Peaje.Gcd departamentos]" allUniqueName="[Peaje.Gcd departamento].[All Peaje.Gcd departamentos]" dimensionUniqueName="[Peaje]" count="0" unbalanced="0"/>
    <cacheHierarchy uniqueName="[Peaje.Latitud]" caption="Latitud" defaultMemberUniqueName="[Peaje.Latitud].[All Peaje.Latituds]" allUniqueName="[Peaje.Latitud].[All Peaje.Latituds]" dimensionUniqueName="[Peaje]" count="0" unbalanced="0"/>
    <cacheHierarchy uniqueName="[Peaje.Longitud]" caption="Longitud" defaultMemberUniqueName="[Peaje.Longitud].[All Peaje.Longituds]" allUniqueName="[Peaje.Longitud].[All Peaje.Longituds]" dimensionUniqueName="[Peaje]" count="0" unbalanced="0"/>
    <cacheHierarchy uniqueName="[Peaje.Nombre]" caption="Nombre" defaultMemberUniqueName="[Peaje.Nombre].[All Peaje.Nombres]" allUniqueName="[Peaje.Nombre].[All Peaje.Nombres]" dimensionUniqueName="[Peaje]" count="2" unbalanced="0"/>
    <cacheHierarchy uniqueName="[Peaje.Responsable]" caption="Responsable" defaultMemberUniqueName="[Peaje.Responsable].[All Peaje.Responsables]" allUniqueName="[Peaje.Responsable].[All Peaje.Responsables]" dimensionUniqueName="[Peaje]" count="0" unbalanced="0"/>
    <cacheHierarchy uniqueName="[Measures].[Promedio Recaudo]" caption="Promedio Recaudo" measure="1" displayFolder="" measureGroup="" count="0"/>
    <cacheHierarchy uniqueName="[Measures].[Promedio Tráfico]" caption="Promedio Tráfico" measure="1" displayFolder="" measureGroup="" count="0"/>
    <cacheHierarchy uniqueName="[Measures].[Recaudo]" caption="Recaudo" measure="1" displayFolder="" measureGroup="" count="0"/>
    <cacheHierarchy uniqueName="[Measures].[Tráfico]" caption="Tráfico" measure="1" displayFolder="" measureGroup="" count="0"/>
  </cacheHierarchies>
  <kpis count="0"/>
  <extLst>
    <ext xmlns:x14="http://schemas.microsoft.com/office/spreadsheetml/2009/9/main" uri="{725AE2AE-9491-48be-B2B4-4EB974FC3084}">
      <x14:pivotCacheDefinition slicerData="1" pivotCacheId="165022216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Andres Gomez Polo" refreshedDate="44136.723332291665" backgroundQuery="1" createdVersion="3" refreshedVersion="6" minRefreshableVersion="3" recordCount="0" xr:uid="{1793C947-580A-4A00-BFDB-167F0C32A8A9}">
  <cacheSource type="external" connectionId="1">
    <extLst>
      <ext xmlns:x14="http://schemas.microsoft.com/office/spreadsheetml/2009/9/main" uri="{F057638F-6D5F-4e77-A914-E7F072B9BCA8}">
        <x14:sourceConnection name="Conexión"/>
      </ext>
    </extLst>
  </cacheSource>
  <cacheFields count="0"/>
  <cacheHierarchies count="29">
    <cacheHierarchy uniqueName="[Fecha.Anio]" caption="Anio" defaultMemberUniqueName="[Fecha.Anio].[All Fecha.Anios]" allUniqueName="[Fecha.Anio].[All Fecha.Anios]" dimensionUniqueName="[Fecha]" count="0" unbalanced="0"/>
    <cacheHierarchy uniqueName="[Fecha.Cod fecha]" caption="Cod fecha" defaultMemberUniqueName="[Fecha.Cod fecha].[All Fecha.Cod fechas]" allUniqueName="[Fecha.Cod fecha].[All Fecha.Cod fechas]" dimensionUniqueName="[Fecha]" count="0" unbalanced="0"/>
    <cacheHierarchy uniqueName="[Fecha.Cuadrimestre]" caption="Cuadrimestre" defaultMemberUniqueName="[Fecha.Cuadrimestre].[All Fecha.Cuadrimestres]" allUniqueName="[Fecha.Cuadrimestre].[All Fecha.Cuadrimestres]" dimensionUniqueName="[Fecha]" count="0" unbalanced="0"/>
    <cacheHierarchy uniqueName="[Fecha.Mes]" caption="Mes" defaultMemberUniqueName="[Fecha.Mes].[All Fecha.Mess]" allUniqueName="[Fecha.Mes].[All Fecha.Mess]" dimensionUniqueName="[Fecha]" count="0" unbalanced="0"/>
    <cacheHierarchy uniqueName="[Fecha.Semestre]" caption="Semestre" defaultMemberUniqueName="[Fecha.Semestre].[All Fecha.Semestres]" allUniqueName="[Fecha.Semestre].[All Fecha.Semestres]" dimensionUniqueName="[Fecha]" count="0" unbalanced="0"/>
    <cacheHierarchy uniqueName="[Fecha.Trimestre]" caption="Trimestre" defaultMemberUniqueName="[Fecha.Trimestre].[All Fecha.Trimestres]" allUniqueName="[Fecha.Trimestre].[All Fecha.Trimestres]" dimensionUniqueName="[Fecha]" count="0" unbalanced="0"/>
    <cacheHierarchy uniqueName="[Peaje.Admon]" caption="Admon" defaultMemberUniqueName="[Peaje.Admon].[All Peaje.Admons]" allUniqueName="[Peaje.Admon].[All Peaje.Admons]" dimensionUniqueName="[Peaje]" count="0" unbalanced="0"/>
    <cacheHierarchy uniqueName="[Peaje.Cat 1]" caption="Cat 1" defaultMemberUniqueName="[Peaje.Cat 1].[All Peaje.Cat 1s]" allUniqueName="[Peaje.Cat 1].[All Peaje.Cat 1s]" dimensionUniqueName="[Peaje]" count="0" unbalanced="0"/>
    <cacheHierarchy uniqueName="[Peaje.Cat 2]" caption="Cat 2" defaultMemberUniqueName="[Peaje.Cat 2].[All Peaje.Cat 2s]" allUniqueName="[Peaje.Cat 2].[All Peaje.Cat 2s]" dimensionUniqueName="[Peaje]" count="0" unbalanced="0"/>
    <cacheHierarchy uniqueName="[Peaje.Cat 3]" caption="Cat 3" defaultMemberUniqueName="[Peaje.Cat 3].[All Peaje.Cat 3s]" allUniqueName="[Peaje.Cat 3].[All Peaje.Cat 3s]" dimensionUniqueName="[Peaje]" count="0" unbalanced="0"/>
    <cacheHierarchy uniqueName="[Peaje.Cat 4]" caption="Cat 4" defaultMemberUniqueName="[Peaje.Cat 4].[All Peaje.Cat 4s]" allUniqueName="[Peaje.Cat 4].[All Peaje.Cat 4s]" dimensionUniqueName="[Peaje]" count="0" unbalanced="0"/>
    <cacheHierarchy uniqueName="[Peaje.Cat 5]" caption="Cat 5" defaultMemberUniqueName="[Peaje.Cat 5].[All Peaje.Cat 5s]" allUniqueName="[Peaje.Cat 5].[All Peaje.Cat 5s]" dimensionUniqueName="[Peaje]" count="0" unbalanced="0"/>
    <cacheHierarchy uniqueName="[Peaje.Cat 6]" caption="Cat 6" defaultMemberUniqueName="[Peaje.Cat 6].[All Peaje.Cat 6s]" allUniqueName="[Peaje.Cat 6].[All Peaje.Cat 6s]" dimensionUniqueName="[Peaje]" count="0" unbalanced="0"/>
    <cacheHierarchy uniqueName="[Peaje.Cat 7]" caption="Cat 7" defaultMemberUniqueName="[Peaje.Cat 7].[All Peaje.Cat 7s]" allUniqueName="[Peaje.Cat 7].[All Peaje.Cat 7s]" dimensionUniqueName="[Peaje]" count="0" unbalanced="0"/>
    <cacheHierarchy uniqueName="[Peaje.Cat 8]" caption="Cat 8" defaultMemberUniqueName="[Peaje.Cat 8].[All Peaje.Cat 8s]" allUniqueName="[Peaje.Cat 8].[All Peaje.Cat 8s]" dimensionUniqueName="[Peaje]" count="0" unbalanced="0"/>
    <cacheHierarchy uniqueName="[Peaje.Cat 9]" caption="Cat 9" defaultMemberUniqueName="[Peaje.Cat 9].[All Peaje.Cat 9s]" allUniqueName="[Peaje.Cat 9].[All Peaje.Cat 9s]" dimensionUniqueName="[Peaje]" count="0" unbalanced="0"/>
    <cacheHierarchy uniqueName="[Peaje.Cod via]" caption="Cod via" defaultMemberUniqueName="[Peaje.Cod via].[All Peaje.Cod vias]" allUniqueName="[Peaje.Cod via].[All Peaje.Cod vias]" dimensionUniqueName="[Peaje]" count="0" unbalanced="0"/>
    <cacheHierarchy uniqueName="[Peaje.Departamento]" caption="Departamento" defaultMemberUniqueName="[Peaje.Departamento].[All Peaje.Departamentos]" allUniqueName="[Peaje.Departamento].[All Peaje.Departamentos]" dimensionUniqueName="[Peaje]" count="2" unbalanced="0"/>
    <cacheHierarchy uniqueName="[Peaje.Eje adic 2]" caption="Eje adic 2" defaultMemberUniqueName="[Peaje.Eje adic 2].[All Peaje.Eje adic 2s]" allUniqueName="[Peaje.Eje adic 2].[All Peaje.Eje adic 2s]" dimensionUniqueName="[Peaje]" count="0" unbalanced="0"/>
    <cacheHierarchy uniqueName="[Peaje.Eje adicio]" caption="Eje adicio" defaultMemberUniqueName="[Peaje.Eje adicio].[All Peaje.Eje adicios]" allUniqueName="[Peaje.Eje adicio].[All Peaje.Eje adicios]" dimensionUniqueName="[Peaje]" count="0" unbalanced="0"/>
    <cacheHierarchy uniqueName="[Peaje.Gcd departamento]" caption="Gcd departamento" defaultMemberUniqueName="[Peaje.Gcd departamento].[All Peaje.Gcd departamentos]" allUniqueName="[Peaje.Gcd departamento].[All Peaje.Gcd departamentos]" dimensionUniqueName="[Peaje]" count="0" unbalanced="0"/>
    <cacheHierarchy uniqueName="[Peaje.Latitud]" caption="Latitud" defaultMemberUniqueName="[Peaje.Latitud].[All Peaje.Latituds]" allUniqueName="[Peaje.Latitud].[All Peaje.Latituds]" dimensionUniqueName="[Peaje]" count="0" unbalanced="0"/>
    <cacheHierarchy uniqueName="[Peaje.Longitud]" caption="Longitud" defaultMemberUniqueName="[Peaje.Longitud].[All Peaje.Longituds]" allUniqueName="[Peaje.Longitud].[All Peaje.Longituds]" dimensionUniqueName="[Peaje]" count="0" unbalanced="0"/>
    <cacheHierarchy uniqueName="[Peaje.Nombre]" caption="Nombre" defaultMemberUniqueName="[Peaje.Nombre].[All Peaje.Nombres]" allUniqueName="[Peaje.Nombre].[All Peaje.Nombres]" dimensionUniqueName="[Peaje]" count="0" unbalanced="0"/>
    <cacheHierarchy uniqueName="[Peaje.Responsable]" caption="Responsable" defaultMemberUniqueName="[Peaje.Responsable].[All Peaje.Responsables]" allUniqueName="[Peaje.Responsable].[All Peaje.Responsables]" dimensionUniqueName="[Peaje]" count="0" unbalanced="0"/>
    <cacheHierarchy uniqueName="[Measures].[Promedio Recaudo]" caption="Promedio Recaudo" measure="1" displayFolder="" measureGroup="" count="0"/>
    <cacheHierarchy uniqueName="[Measures].[Promedio Tráfico]" caption="Promedio Tráfico" measure="1" displayFolder="" measureGroup="" count="0"/>
    <cacheHierarchy uniqueName="[Measures].[Recaudo]" caption="Recaudo" measure="1" displayFolder="" measureGroup="" count="0"/>
    <cacheHierarchy uniqueName="[Measures].[Tráfico]" caption="Tráfico" measure="1" displayFolder="" measureGroup="" count="0"/>
  </cacheHierarchies>
  <kpis count="0"/>
  <extLst>
    <ext xmlns:x14="http://schemas.microsoft.com/office/spreadsheetml/2009/9/main" uri="{725AE2AE-9491-48be-B2B4-4EB974FC3084}">
      <x14:pivotCacheDefinition slicerData="1" pivotCacheId="1298225313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Andres Gomez Polo" refreshedDate="44136.723586805558" backgroundQuery="1" createdVersion="3" refreshedVersion="6" minRefreshableVersion="3" recordCount="0" xr:uid="{FC0E5FF9-E64F-4097-A014-AAE06208957B}">
  <cacheSource type="external" connectionId="1">
    <extLst>
      <ext xmlns:x14="http://schemas.microsoft.com/office/spreadsheetml/2009/9/main" uri="{F057638F-6D5F-4e77-A914-E7F072B9BCA8}">
        <x14:sourceConnection name="Conexión"/>
      </ext>
    </extLst>
  </cacheSource>
  <cacheFields count="0"/>
  <cacheHierarchies count="29">
    <cacheHierarchy uniqueName="[Fecha.Anio]" caption="Anio" defaultMemberUniqueName="[Fecha.Anio].[All Fecha.Anios]" allUniqueName="[Fecha.Anio].[All Fecha.Anios]" dimensionUniqueName="[Fecha]" count="0" unbalanced="0"/>
    <cacheHierarchy uniqueName="[Fecha.Cod fecha]" caption="Cod fecha" defaultMemberUniqueName="[Fecha.Cod fecha].[All Fecha.Cod fechas]" allUniqueName="[Fecha.Cod fecha].[All Fecha.Cod fechas]" dimensionUniqueName="[Fecha]" count="0" unbalanced="0"/>
    <cacheHierarchy uniqueName="[Fecha.Cuadrimestre]" caption="Cuadrimestre" defaultMemberUniqueName="[Fecha.Cuadrimestre].[All Fecha.Cuadrimestres]" allUniqueName="[Fecha.Cuadrimestre].[All Fecha.Cuadrimestres]" dimensionUniqueName="[Fecha]" count="0" unbalanced="0"/>
    <cacheHierarchy uniqueName="[Fecha.Mes]" caption="Mes" defaultMemberUniqueName="[Fecha.Mes].[All Fecha.Mess]" allUniqueName="[Fecha.Mes].[All Fecha.Mess]" dimensionUniqueName="[Fecha]" count="0" unbalanced="0"/>
    <cacheHierarchy uniqueName="[Fecha.Semestre]" caption="Semestre" defaultMemberUniqueName="[Fecha.Semestre].[All Fecha.Semestres]" allUniqueName="[Fecha.Semestre].[All Fecha.Semestres]" dimensionUniqueName="[Fecha]" count="0" unbalanced="0"/>
    <cacheHierarchy uniqueName="[Fecha.Trimestre]" caption="Trimestre" defaultMemberUniqueName="[Fecha.Trimestre].[All Fecha.Trimestres]" allUniqueName="[Fecha.Trimestre].[All Fecha.Trimestres]" dimensionUniqueName="[Fecha]" count="0" unbalanced="0"/>
    <cacheHierarchy uniqueName="[Peaje.Admon]" caption="Admon" defaultMemberUniqueName="[Peaje.Admon].[All Peaje.Admons]" allUniqueName="[Peaje.Admon].[All Peaje.Admons]" dimensionUniqueName="[Peaje]" count="0" unbalanced="0"/>
    <cacheHierarchy uniqueName="[Peaje.Cat 1]" caption="Cat 1" defaultMemberUniqueName="[Peaje.Cat 1].[All Peaje.Cat 1s]" allUniqueName="[Peaje.Cat 1].[All Peaje.Cat 1s]" dimensionUniqueName="[Peaje]" count="0" unbalanced="0"/>
    <cacheHierarchy uniqueName="[Peaje.Cat 2]" caption="Cat 2" defaultMemberUniqueName="[Peaje.Cat 2].[All Peaje.Cat 2s]" allUniqueName="[Peaje.Cat 2].[All Peaje.Cat 2s]" dimensionUniqueName="[Peaje]" count="0" unbalanced="0"/>
    <cacheHierarchy uniqueName="[Peaje.Cat 3]" caption="Cat 3" defaultMemberUniqueName="[Peaje.Cat 3].[All Peaje.Cat 3s]" allUniqueName="[Peaje.Cat 3].[All Peaje.Cat 3s]" dimensionUniqueName="[Peaje]" count="0" unbalanced="0"/>
    <cacheHierarchy uniqueName="[Peaje.Cat 4]" caption="Cat 4" defaultMemberUniqueName="[Peaje.Cat 4].[All Peaje.Cat 4s]" allUniqueName="[Peaje.Cat 4].[All Peaje.Cat 4s]" dimensionUniqueName="[Peaje]" count="0" unbalanced="0"/>
    <cacheHierarchy uniqueName="[Peaje.Cat 5]" caption="Cat 5" defaultMemberUniqueName="[Peaje.Cat 5].[All Peaje.Cat 5s]" allUniqueName="[Peaje.Cat 5].[All Peaje.Cat 5s]" dimensionUniqueName="[Peaje]" count="0" unbalanced="0"/>
    <cacheHierarchy uniqueName="[Peaje.Cat 6]" caption="Cat 6" defaultMemberUniqueName="[Peaje.Cat 6].[All Peaje.Cat 6s]" allUniqueName="[Peaje.Cat 6].[All Peaje.Cat 6s]" dimensionUniqueName="[Peaje]" count="0" unbalanced="0"/>
    <cacheHierarchy uniqueName="[Peaje.Cat 7]" caption="Cat 7" defaultMemberUniqueName="[Peaje.Cat 7].[All Peaje.Cat 7s]" allUniqueName="[Peaje.Cat 7].[All Peaje.Cat 7s]" dimensionUniqueName="[Peaje]" count="0" unbalanced="0"/>
    <cacheHierarchy uniqueName="[Peaje.Cat 8]" caption="Cat 8" defaultMemberUniqueName="[Peaje.Cat 8].[All Peaje.Cat 8s]" allUniqueName="[Peaje.Cat 8].[All Peaje.Cat 8s]" dimensionUniqueName="[Peaje]" count="0" unbalanced="0"/>
    <cacheHierarchy uniqueName="[Peaje.Cat 9]" caption="Cat 9" defaultMemberUniqueName="[Peaje.Cat 9].[All Peaje.Cat 9s]" allUniqueName="[Peaje.Cat 9].[All Peaje.Cat 9s]" dimensionUniqueName="[Peaje]" count="0" unbalanced="0"/>
    <cacheHierarchy uniqueName="[Peaje.Cod via]" caption="Cod via" defaultMemberUniqueName="[Peaje.Cod via].[All Peaje.Cod vias]" allUniqueName="[Peaje.Cod via].[All Peaje.Cod vias]" dimensionUniqueName="[Peaje]" count="0" unbalanced="0"/>
    <cacheHierarchy uniqueName="[Peaje.Departamento]" caption="Departamento" defaultMemberUniqueName="[Peaje.Departamento].[All Peaje.Departamentos]" allUniqueName="[Peaje.Departamento].[All Peaje.Departamentos]" dimensionUniqueName="[Peaje]" count="2" unbalanced="0"/>
    <cacheHierarchy uniqueName="[Peaje.Eje adic 2]" caption="Eje adic 2" defaultMemberUniqueName="[Peaje.Eje adic 2].[All Peaje.Eje adic 2s]" allUniqueName="[Peaje.Eje adic 2].[All Peaje.Eje adic 2s]" dimensionUniqueName="[Peaje]" count="0" unbalanced="0"/>
    <cacheHierarchy uniqueName="[Peaje.Eje adicio]" caption="Eje adicio" defaultMemberUniqueName="[Peaje.Eje adicio].[All Peaje.Eje adicios]" allUniqueName="[Peaje.Eje adicio].[All Peaje.Eje adicios]" dimensionUniqueName="[Peaje]" count="0" unbalanced="0"/>
    <cacheHierarchy uniqueName="[Peaje.Gcd departamento]" caption="Gcd departamento" defaultMemberUniqueName="[Peaje.Gcd departamento].[All Peaje.Gcd departamentos]" allUniqueName="[Peaje.Gcd departamento].[All Peaje.Gcd departamentos]" dimensionUniqueName="[Peaje]" count="0" unbalanced="0"/>
    <cacheHierarchy uniqueName="[Peaje.Latitud]" caption="Latitud" defaultMemberUniqueName="[Peaje.Latitud].[All Peaje.Latituds]" allUniqueName="[Peaje.Latitud].[All Peaje.Latituds]" dimensionUniqueName="[Peaje]" count="0" unbalanced="0"/>
    <cacheHierarchy uniqueName="[Peaje.Longitud]" caption="Longitud" defaultMemberUniqueName="[Peaje.Longitud].[All Peaje.Longituds]" allUniqueName="[Peaje.Longitud].[All Peaje.Longituds]" dimensionUniqueName="[Peaje]" count="0" unbalanced="0"/>
    <cacheHierarchy uniqueName="[Peaje.Nombre]" caption="Nombre" defaultMemberUniqueName="[Peaje.Nombre].[All Peaje.Nombres]" allUniqueName="[Peaje.Nombre].[All Peaje.Nombres]" dimensionUniqueName="[Peaje]" count="0" unbalanced="0"/>
    <cacheHierarchy uniqueName="[Peaje.Responsable]" caption="Responsable" defaultMemberUniqueName="[Peaje.Responsable].[All Peaje.Responsables]" allUniqueName="[Peaje.Responsable].[All Peaje.Responsables]" dimensionUniqueName="[Peaje]" count="0" unbalanced="0"/>
    <cacheHierarchy uniqueName="[Measures].[Promedio Recaudo]" caption="Promedio Recaudo" measure="1" displayFolder="" measureGroup="" count="0"/>
    <cacheHierarchy uniqueName="[Measures].[Promedio Tráfico]" caption="Promedio Tráfico" measure="1" displayFolder="" measureGroup="" count="0"/>
    <cacheHierarchy uniqueName="[Measures].[Recaudo]" caption="Recaudo" measure="1" displayFolder="" measureGroup="" count="0"/>
    <cacheHierarchy uniqueName="[Measures].[Tráfico]" caption="Tráfico" measure="1" displayFolder="" measureGroup="" count="0"/>
  </cacheHierarchies>
  <kpis count="0"/>
  <extLst>
    <ext xmlns:x14="http://schemas.microsoft.com/office/spreadsheetml/2009/9/main" uri="{725AE2AE-9491-48be-B2B4-4EB974FC3084}">
      <x14:pivotCacheDefinition slicerData="1" pivotCacheId="377027819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Andres Gomez Polo" refreshedDate="44136.727455208333" backgroundQuery="1" createdVersion="3" refreshedVersion="6" minRefreshableVersion="3" recordCount="0" xr:uid="{AECB6343-478C-4ED7-A6A4-C372906E8EEB}">
  <cacheSource type="external" connectionId="1">
    <extLst>
      <ext xmlns:x14="http://schemas.microsoft.com/office/spreadsheetml/2009/9/main" uri="{F057638F-6D5F-4e77-A914-E7F072B9BCA8}">
        <x14:sourceConnection name="Conexión"/>
      </ext>
    </extLst>
  </cacheSource>
  <cacheFields count="0"/>
  <cacheHierarchies count="29">
    <cacheHierarchy uniqueName="[Fecha.Anio]" caption="Anio" defaultMemberUniqueName="[Fecha.Anio].[All Fecha.Anios]" allUniqueName="[Fecha.Anio].[All Fecha.Anios]" dimensionUniqueName="[Fecha]" count="0" unbalanced="0"/>
    <cacheHierarchy uniqueName="[Fecha.Cod fecha]" caption="Cod fecha" defaultMemberUniqueName="[Fecha.Cod fecha].[All Fecha.Cod fechas]" allUniqueName="[Fecha.Cod fecha].[All Fecha.Cod fechas]" dimensionUniqueName="[Fecha]" count="0" unbalanced="0"/>
    <cacheHierarchy uniqueName="[Fecha.Cuadrimestre]" caption="Cuadrimestre" defaultMemberUniqueName="[Fecha.Cuadrimestre].[All Fecha.Cuadrimestres]" allUniqueName="[Fecha.Cuadrimestre].[All Fecha.Cuadrimestres]" dimensionUniqueName="[Fecha]" count="0" unbalanced="0"/>
    <cacheHierarchy uniqueName="[Fecha.Mes]" caption="Mes" defaultMemberUniqueName="[Fecha.Mes].[All Fecha.Mess]" allUniqueName="[Fecha.Mes].[All Fecha.Mess]" dimensionUniqueName="[Fecha]" count="0" unbalanced="0"/>
    <cacheHierarchy uniqueName="[Fecha.Semestre]" caption="Semestre" defaultMemberUniqueName="[Fecha.Semestre].[All Fecha.Semestres]" allUniqueName="[Fecha.Semestre].[All Fecha.Semestres]" dimensionUniqueName="[Fecha]" count="0" unbalanced="0"/>
    <cacheHierarchy uniqueName="[Fecha.Trimestre]" caption="Trimestre" defaultMemberUniqueName="[Fecha.Trimestre].[All Fecha.Trimestres]" allUniqueName="[Fecha.Trimestre].[All Fecha.Trimestres]" dimensionUniqueName="[Fecha]" count="0" unbalanced="0"/>
    <cacheHierarchy uniqueName="[Peaje.Admon]" caption="Admon" defaultMemberUniqueName="[Peaje.Admon].[All Peaje.Admons]" allUniqueName="[Peaje.Admon].[All Peaje.Admons]" dimensionUniqueName="[Peaje]" count="0" unbalanced="0"/>
    <cacheHierarchy uniqueName="[Peaje.Cat 1]" caption="Cat 1" defaultMemberUniqueName="[Peaje.Cat 1].[All Peaje.Cat 1s]" allUniqueName="[Peaje.Cat 1].[All Peaje.Cat 1s]" dimensionUniqueName="[Peaje]" count="0" unbalanced="0"/>
    <cacheHierarchy uniqueName="[Peaje.Cat 2]" caption="Cat 2" defaultMemberUniqueName="[Peaje.Cat 2].[All Peaje.Cat 2s]" allUniqueName="[Peaje.Cat 2].[All Peaje.Cat 2s]" dimensionUniqueName="[Peaje]" count="0" unbalanced="0"/>
    <cacheHierarchy uniqueName="[Peaje.Cat 3]" caption="Cat 3" defaultMemberUniqueName="[Peaje.Cat 3].[All Peaje.Cat 3s]" allUniqueName="[Peaje.Cat 3].[All Peaje.Cat 3s]" dimensionUniqueName="[Peaje]" count="0" unbalanced="0"/>
    <cacheHierarchy uniqueName="[Peaje.Cat 4]" caption="Cat 4" defaultMemberUniqueName="[Peaje.Cat 4].[All Peaje.Cat 4s]" allUniqueName="[Peaje.Cat 4].[All Peaje.Cat 4s]" dimensionUniqueName="[Peaje]" count="0" unbalanced="0"/>
    <cacheHierarchy uniqueName="[Peaje.Cat 5]" caption="Cat 5" defaultMemberUniqueName="[Peaje.Cat 5].[All Peaje.Cat 5s]" allUniqueName="[Peaje.Cat 5].[All Peaje.Cat 5s]" dimensionUniqueName="[Peaje]" count="0" unbalanced="0"/>
    <cacheHierarchy uniqueName="[Peaje.Cat 6]" caption="Cat 6" defaultMemberUniqueName="[Peaje.Cat 6].[All Peaje.Cat 6s]" allUniqueName="[Peaje.Cat 6].[All Peaje.Cat 6s]" dimensionUniqueName="[Peaje]" count="0" unbalanced="0"/>
    <cacheHierarchy uniqueName="[Peaje.Cat 7]" caption="Cat 7" defaultMemberUniqueName="[Peaje.Cat 7].[All Peaje.Cat 7s]" allUniqueName="[Peaje.Cat 7].[All Peaje.Cat 7s]" dimensionUniqueName="[Peaje]" count="0" unbalanced="0"/>
    <cacheHierarchy uniqueName="[Peaje.Cat 8]" caption="Cat 8" defaultMemberUniqueName="[Peaje.Cat 8].[All Peaje.Cat 8s]" allUniqueName="[Peaje.Cat 8].[All Peaje.Cat 8s]" dimensionUniqueName="[Peaje]" count="0" unbalanced="0"/>
    <cacheHierarchy uniqueName="[Peaje.Cat 9]" caption="Cat 9" defaultMemberUniqueName="[Peaje.Cat 9].[All Peaje.Cat 9s]" allUniqueName="[Peaje.Cat 9].[All Peaje.Cat 9s]" dimensionUniqueName="[Peaje]" count="0" unbalanced="0"/>
    <cacheHierarchy uniqueName="[Peaje.Cod via]" caption="Cod via" defaultMemberUniqueName="[Peaje.Cod via].[All Peaje.Cod vias]" allUniqueName="[Peaje.Cod via].[All Peaje.Cod vias]" dimensionUniqueName="[Peaje]" count="0" unbalanced="0"/>
    <cacheHierarchy uniqueName="[Peaje.Departamento]" caption="Departamento" defaultMemberUniqueName="[Peaje.Departamento].[All Peaje.Departamentos]" allUniqueName="[Peaje.Departamento].[All Peaje.Departamentos]" dimensionUniqueName="[Peaje]" count="0" unbalanced="0"/>
    <cacheHierarchy uniqueName="[Peaje.Eje adic 2]" caption="Eje adic 2" defaultMemberUniqueName="[Peaje.Eje adic 2].[All Peaje.Eje adic 2s]" allUniqueName="[Peaje.Eje adic 2].[All Peaje.Eje adic 2s]" dimensionUniqueName="[Peaje]" count="0" unbalanced="0"/>
    <cacheHierarchy uniqueName="[Peaje.Eje adicio]" caption="Eje adicio" defaultMemberUniqueName="[Peaje.Eje adicio].[All Peaje.Eje adicios]" allUniqueName="[Peaje.Eje adicio].[All Peaje.Eje adicios]" dimensionUniqueName="[Peaje]" count="0" unbalanced="0"/>
    <cacheHierarchy uniqueName="[Peaje.Gcd departamento]" caption="Gcd departamento" defaultMemberUniqueName="[Peaje.Gcd departamento].[All Peaje.Gcd departamentos]" allUniqueName="[Peaje.Gcd departamento].[All Peaje.Gcd departamentos]" dimensionUniqueName="[Peaje]" count="0" unbalanced="0"/>
    <cacheHierarchy uniqueName="[Peaje.Latitud]" caption="Latitud" defaultMemberUniqueName="[Peaje.Latitud].[All Peaje.Latituds]" allUniqueName="[Peaje.Latitud].[All Peaje.Latituds]" dimensionUniqueName="[Peaje]" count="0" unbalanced="0"/>
    <cacheHierarchy uniqueName="[Peaje.Longitud]" caption="Longitud" defaultMemberUniqueName="[Peaje.Longitud].[All Peaje.Longituds]" allUniqueName="[Peaje.Longitud].[All Peaje.Longituds]" dimensionUniqueName="[Peaje]" count="0" unbalanced="0"/>
    <cacheHierarchy uniqueName="[Peaje.Nombre]" caption="Nombre" defaultMemberUniqueName="[Peaje.Nombre].[All Peaje.Nombres]" allUniqueName="[Peaje.Nombre].[All Peaje.Nombres]" dimensionUniqueName="[Peaje]" count="2" unbalanced="0"/>
    <cacheHierarchy uniqueName="[Peaje.Responsable]" caption="Responsable" defaultMemberUniqueName="[Peaje.Responsable].[All Peaje.Responsables]" allUniqueName="[Peaje.Responsable].[All Peaje.Responsables]" dimensionUniqueName="[Peaje]" count="0" unbalanced="0"/>
    <cacheHierarchy uniqueName="[Measures].[Promedio Recaudo]" caption="Promedio Recaudo" measure="1" displayFolder="" measureGroup="" count="0"/>
    <cacheHierarchy uniqueName="[Measures].[Promedio Tráfico]" caption="Promedio Tráfico" measure="1" displayFolder="" measureGroup="" count="0"/>
    <cacheHierarchy uniqueName="[Measures].[Recaudo]" caption="Recaudo" measure="1" displayFolder="" measureGroup="" count="0"/>
    <cacheHierarchy uniqueName="[Measures].[Tráfico]" caption="Tráfico" measure="1" displayFolder="" measureGroup="" count="0"/>
  </cacheHierarchies>
  <kpis count="0"/>
  <extLst>
    <ext xmlns:x14="http://schemas.microsoft.com/office/spreadsheetml/2009/9/main" uri="{725AE2AE-9491-48be-B2B4-4EB974FC3084}">
      <x14:pivotCacheDefinition slicerData="1" pivotCacheId="157675814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8104C-0958-4F42-B5A2-22D1C0200526}" name="TablaDinámica6" cacheId="274" applyNumberFormats="0" applyBorderFormats="0" applyFontFormats="0" applyPatternFormats="0" applyAlignmentFormats="0" applyWidthHeightFormats="1" dataCaption="Valores" updatedVersion="6" minRefreshableVersion="3" useAutoFormatting="1" subtotalHiddenItems="1" itemPrintTitles="1" createdVersion="6" indent="0" outline="1" outlineData="1" multipleFieldFilters="0" chartFormat="1" fieldListSortAscending="1">
  <location ref="A3:F31" firstHeaderRow="1" firstDataRow="2" firstDataCol="1"/>
  <pivotFields count="4">
    <pivotField axis="axisCol" allDrilled="1" subtotalTop="0" showAll="0" dataSourceSort="1" defaultSubtotal="0">
      <items count="9">
        <item s="1" x="0"/>
        <item s="1" x="1"/>
        <item s="1" x="2"/>
        <item s="1" x="3"/>
        <item x="4"/>
        <item x="5"/>
        <item x="6"/>
        <item x="7"/>
        <item x="8"/>
      </items>
    </pivotField>
    <pivotField axis="axisRow" allDrilled="1" showAll="0" dataSourceSort="1">
      <items count="3">
        <item s="1" x="0"/>
        <item s="1" x="1"/>
        <item t="default"/>
      </items>
    </pivotField>
    <pivotField dataField="1" subtotalTop="0" showAll="0" defaultSubtotal="0"/>
    <pivotField axis="axisRow" allDrilled="1" subtotalTop="0" showAll="0" defaultSubtotal="0">
      <items count="12">
        <item x="3"/>
        <item x="4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2">
    <field x="1"/>
    <field x="3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formats count="1">
    <format dxfId="0">
      <pivotArea collapsedLevelsAreSubtotals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3" count="1">
            <x v="10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2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3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90078-18BB-491F-BF06-A174E7D2D5DF}" name="TablaDinámica1" cacheId="27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fieldListSortAscending="1">
  <location ref="A3:F31" firstHeaderRow="1" firstDataRow="2" firstDataCol="1"/>
  <pivotFields count="5">
    <pivotField axis="axisRow" allDrilled="1" showAll="0" dataSourceSort="1">
      <items count="3">
        <item s="1" x="0"/>
        <item s="1" x="1"/>
        <item t="default"/>
      </items>
    </pivotField>
    <pivotField dataField="1" subtotalTop="0" showAll="0" defaultSubtotal="0"/>
    <pivotField axis="axisRow" allDrilled="1" subtotalTop="0" showAll="0" defaultSubtotal="0">
      <items count="12">
        <item x="3"/>
        <item x="4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Col" allDrilled="1" subtotalTop="0" showAll="0" dataSourceSort="1" defaultSubtotal="0">
      <items count="12">
        <item s="1" x="0"/>
        <item s="1" x="1"/>
        <item s="1" x="2"/>
        <item s="1"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/>
  </pivotFields>
  <rowFields count="2">
    <field x="0"/>
    <field x="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fld="1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Hierarchies count="2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Peaje.Departamento].[Cesar]"/>
        <member name="[Peaje.Departamento].[Bolivar]"/>
        <member name="[Peaje.Departamento].[Cordoba]"/>
        <member name="[Peaje.Departamento].[Atlantico]"/>
      </members>
    </pivotHierarchy>
    <pivotHierarchy/>
    <pivotHierarchy/>
    <pivotHierarchy/>
    <pivotHierarchy/>
    <pivotHierarchy/>
    <pivotHierarchy multipleItemSelectionAllowed="1"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3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E632E-BFD3-4CA3-987B-D7430750392D}" name="TablaDinámica2" cacheId="29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fieldListSortAscending="1">
  <location ref="A1:E42" firstHeaderRow="1" firstDataRow="2" firstDataCol="1"/>
  <pivotFields count="4">
    <pivotField axis="axisRow" allDrilled="1" showAll="0" dataSourceSort="1">
      <items count="4">
        <item x="0"/>
        <item x="1"/>
        <item x="2"/>
        <item t="default"/>
      </items>
    </pivotField>
    <pivotField axis="axisRow" allDrilled="1" subtotalTop="0" showAll="0" dataSourceSort="1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Col" allDrilled="1" subtotalTop="0" showAll="0" dataSourceSort="1" defaultSubtotal="0">
      <items count="5">
        <item s="1" x="0"/>
        <item s="1" x="1"/>
        <item s="1" x="2"/>
        <item x="3"/>
        <item x="4"/>
      </items>
    </pivotField>
  </pivotFields>
  <rowFields count="2">
    <field x="0"/>
    <field x="1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fld="2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Hierarchies count="2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3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77786-3C26-4508-A6E2-C8DFFA41591D}" name="TablaDinámica3" cacheId="36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fieldListSortAscending="1">
  <location ref="A1:F42" firstHeaderRow="1" firstDataRow="2" firstDataCol="1"/>
  <pivotFields count="4">
    <pivotField axis="axisRow" allDrilled="1" showAll="0" dataSourceSort="1">
      <items count="4">
        <item x="0"/>
        <item x="1"/>
        <item x="2"/>
        <item t="default"/>
      </items>
    </pivotField>
    <pivotField axis="axisRow" allDrilled="1" subtotalTop="0" showAll="0" dataSourceSort="1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Col" allDrilled="1" subtotalTop="0" showAll="0" dataSourceSort="1" defaultSubtotal="0">
      <items count="5">
        <item s="1" x="0"/>
        <item s="1" x="1"/>
        <item s="1" x="2"/>
        <item s="1" x="3"/>
        <item x="4"/>
      </items>
    </pivotField>
  </pivotFields>
  <rowFields count="2">
    <field x="0"/>
    <field x="1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Hierarchies count="2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3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79A8D374-F349-4868-98A4-C15AB0B52510}" sourceName="[Peaje.Departamento]">
  <pivotTables>
    <pivotTable tabId="1" name="TablaDinámica6"/>
  </pivotTables>
  <data>
    <olap pivotCacheId="1298225313">
      <levels count="2">
        <level uniqueName="[Peaje.Departamento].[(All)]" sourceCaption="(All)" count="0"/>
        <level uniqueName="[Peaje.Departamento].[Departamento]" sourceCaption="Departamento" count="21">
          <ranges>
            <range startItem="0">
              <i n="[Peaje.Departamento].[Antioquia]" c="Antioquia"/>
              <i n="[Peaje.Departamento].[Atlantico]" c="Atlantico"/>
              <i n="[Peaje.Departamento].[Bolivar]" c="Bolivar"/>
              <i n="[Peaje.Departamento].[Boyaca]" c="Boyaca"/>
              <i n="[Peaje.Departamento].[Caldas]" c="Caldas"/>
              <i n="[Peaje.Departamento].[Cauca]" c="Cauca"/>
              <i n="[Peaje.Departamento].[Cesar]" c="Cesar"/>
              <i n="[Peaje.Departamento].[Cordoba]" c="Cordoba"/>
              <i n="[Peaje.Departamento].[Cundinamarca]" c="Cundinamarca"/>
              <i n="[Peaje.Departamento].[Huila]" c="Huila"/>
              <i n="[Peaje.Departamento].[La Guajira]" c="La Guajira"/>
              <i n="[Peaje.Departamento].[Magdalena]" c="Magdalena"/>
              <i n="[Peaje.Departamento].[Meta]" c="Meta"/>
              <i n="[Peaje.Departamento].[Narino]" c="Narino"/>
              <i n="[Peaje.Departamento].[Norte de Santander]" c="Norte de Santander"/>
              <i n="[Peaje.Departamento].[Quindio]" c="Quindio"/>
              <i n="[Peaje.Departamento].[Risaralda]" c="Risaralda"/>
              <i n="[Peaje.Departamento].[Santander]" c="Santander"/>
              <i n="[Peaje.Departamento].[Sucre]" c="Sucre"/>
              <i n="[Peaje.Departamento].[Tolima]" c="Tolima"/>
              <i n="[Peaje.Departamento].[Valle del Cauca]" c="Valle del Cauca"/>
            </range>
          </ranges>
        </level>
      </levels>
      <selections count="4">
        <selection n="[Peaje.Departamento].[Atlantico]"/>
        <selection n="[Peaje.Departamento].[Bolivar]"/>
        <selection n="[Peaje.Departamento].[Boyaca]"/>
        <selection n="[Peaje.Departamento].[Caldas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" xr10:uid="{8AD2B7C9-C65D-4100-AC9E-3415811C7430}" sourceName="[Peaje.Nombre]">
  <pivotTables>
    <pivotTable tabId="2" name="TablaDinámica1"/>
  </pivotTables>
  <data>
    <olap pivotCacheId="165022216">
      <levels count="2">
        <level uniqueName="[Peaje.Nombre].[(All)]" sourceCaption="(All)" count="0"/>
        <level uniqueName="[Peaje.Nombre].[Nombre]" sourceCaption="Nombre" count="90">
          <ranges>
            <range startItem="0">
              <i n="[Peaje.Nombre].[ACAPULCO]" c="ACAPULCO"/>
              <i n="[Peaje.Nombre].[AGUAS NEGRAS]" c="AGUAS NEGRAS"/>
              <i n="[Peaje.Nombre].[ALBARRACIN]" c="ALBARRACIN"/>
              <i n="[Peaje.Nombre].[ALTAMIRA]" c="ALTAMIRA"/>
              <i n="[Peaje.Nombre].[ALTO PINO]" c="ALTO PINO"/>
              <i n="[Peaje.Nombre].[ALVARADO]" c="ALVARADO"/>
              <i n="[Peaje.Nombre].[AMAGA]" c="AMAGA"/>
              <i n="[Peaje.Nombre].[BAYUNCA]" c="BAYUNCA"/>
              <i n="[Peaje.Nombre].[CAIMANERA]" c="CAIMANERA"/>
              <i n="[Peaje.Nombre].[CALAMAR]" c="CALAMAR"/>
              <i n="[Peaje.Nombre].[CAMBAO]" c="CAMBAO"/>
              <i n="[Peaje.Nombre].[CANO]" c="CANO"/>
              <i n="[Peaje.Nombre].[CASABLANCA]" c="CASABLANCA"/>
              <i n="[Peaje.Nombre].[CASETABLA]" c="CASETABLA"/>
              <i n="[Peaje.Nombre].[CENCAR]" c="CENCAR"/>
              <i n="[Peaje.Nombre].[CERRITOS II]" c="CERRITOS II"/>
              <i n="[Peaje.Nombre].[CHICORAL]" c="CHICORAL"/>
              <i n="[Peaje.Nombre].[CIAT]" c="CIAT"/>
              <i n="[Peaje.Nombre].[CIRCASIA]" c="CIRCASIA"/>
              <i n="[Peaje.Nombre].[CISNEROS]" c="CISNEROS"/>
              <i n="[Peaje.Nombre].[COCORNA]" c="COCORNA"/>
              <i n="[Peaje.Nombre].[COROZAL]" c="COROZAL"/>
              <i n="[Peaje.Nombre].[DAZA]" c="DAZA"/>
              <i n="[Peaje.Nombre].[EL CARMEN]" c="EL CARMEN"/>
              <i n="[Peaje.Nombre].[EL COPEY]" c="EL COPEY"/>
              <i n="[Peaje.Nombre].[EL DIFICIL]" c="EL DIFICIL"/>
              <i n="[Peaje.Nombre].[EL EBANAL]" c="EL EBANAL"/>
              <i n="[Peaje.Nombre].[EL ESCOBAL]" c="EL ESCOBAL"/>
              <i n="[Peaje.Nombre].[EL KORAN]" c="EL KORAN"/>
              <i n="[Peaje.Nombre].[EL ROBLE]" c="EL ROBLE"/>
              <i n="[Peaje.Nombre].[ESTAMBUL]" c="ESTAMBUL"/>
              <i n="[Peaje.Nombre].[GAMARRA]" c="GAMARRA"/>
              <i n="[Peaje.Nombre].[GAMBOTE]" c="GAMBOTE"/>
              <i n="[Peaje.Nombre].[GUALANDAY]" c="GUALANDAY"/>
              <i n="[Peaje.Nombre].[GUARNE]" c="GUARNE"/>
              <i n="[Peaje.Nombre].[GUATAQUI]" c="GUATAQUI"/>
              <i n="[Peaje.Nombre].[HONDA]" c="HONDA"/>
              <i n="[Peaje.Nombre].[LA APARTADA]" c="LA APARTADA"/>
              <i n="[Peaje.Nombre].[LA CABANA]" c="LA CABANA"/>
              <i n="[Peaje.Nombre].[LA ESPERANZA]" c="LA ESPERANZA"/>
              <i n="[Peaje.Nombre].[LA GOMEZ]" c="LA GOMEZ"/>
              <i n="[Peaje.Nombre].[LA LOMA]" c="LA LOMA"/>
              <i n="[Peaje.Nombre].[LA PARADA]" c="LA PARADA"/>
              <i n="[Peaje.Nombre].[LA PINTADA]" c="LA PINTADA"/>
              <i n="[Peaje.Nombre].[LAS FLORES]" c="LAS FLORES"/>
              <i n="[Peaje.Nombre].[LAS PALMAS]" c="LAS PALMAS"/>
              <i n="[Peaje.Nombre].[LEBRIJA]" c="LEBRIJA"/>
              <i n="[Peaje.Nombre].[LOS ACACIOS]" c="LOS ACACIOS"/>
              <i n="[Peaje.Nombre].[LOS CAUCHOS]" c="LOS CAUCHOS"/>
              <i n="[Peaje.Nombre].[LOS CUROS]" c="LOS CUROS"/>
              <i n="[Peaje.Nombre].[MACHETA]" c="MACHETA"/>
              <i n="[Peaje.Nombre].[MARAHUACO]" c="MARAHUACO"/>
              <i n="[Peaje.Nombre].[MATA DE CANA]" c="MATA DE CANA"/>
              <i n="[Peaje.Nombre].[MEDIACANOA]" c="MEDIACANOA"/>
              <i n="[Peaje.Nombre].[MORRISON]" c="MORRISON"/>
              <i n="[Peaje.Nombre].[OIBA]" c="OIBA"/>
              <i n="[Peaje.Nombre].[PAILITAS]" c="PAILITAS"/>
              <i n="[Peaje.Nombre].[PALMITAS]" c="PALMITAS"/>
              <i n="[Peaje.Nombre].[PAPIROS]" c="PAPIROS"/>
              <i n="[Peaje.Nombre].[PARAGUACHON]" c="PARAGUACHON"/>
              <i n="[Peaje.Nombre].[PASACABALLOS]" c="PASACABALLOS"/>
              <i n="[Peaje.Nombre].[PASO DE LA TORRE]" c="PASO DE LA TORRE"/>
              <i n="[Peaje.Nombre].[PIPIRAL]" c="PIPIRAL"/>
              <i n="[Peaje.Nombre].[PLATANAL]" c="PLATANAL"/>
              <i n="[Peaje.Nombre].[PUENTE PLATO]" c="PUENTE PLATO"/>
              <i n="[Peaje.Nombre].[PUERTO BERRIO]" c="PUERTO BERRIO"/>
              <i n="[Peaje.Nombre].[PUERTO COLOMBIA]" c="PUERTO COLOMBIA"/>
              <i n="[Peaje.Nombre].[RINCON HONDO]" c="RINCON HONDO"/>
              <i n="[Peaje.Nombre].[RIO BOGOTA]" c="RIO BOGOTA"/>
              <i n="[Peaje.Nombre].[RIO SOGAMOSO]" c="RIO SOGAMOSO"/>
              <i n="[Peaje.Nombre].[RIONEGRO]" c="RIONEGRO"/>
              <i n="[Peaje.Nombre].[ROZO]" c="ROZO"/>
              <i n="[Peaje.Nombre].[SABANAGRANDE]" c="SABANAGRANDE"/>
              <i n="[Peaje.Nombre].[SABOYA]" c="SABOYA"/>
              <i n="[Peaje.Nombre].[SAN CARLOS]" c="SAN CARLOS"/>
              <i n="[Peaje.Nombre].[SAN CRISTOBAL]" c="SAN CRISTOBAL"/>
              <i n="[Peaje.Nombre].[SAN DIEGO]" c="SAN DIEGO"/>
              <i n="[Peaje.Nombre].[SAN JUAN]" c="SAN JUAN"/>
              <i n="[Peaje.Nombre].[SAN ONOFRE]" c="SAN ONOFRE"/>
              <i n="[Peaje.Nombre].[SIBERIA]" c="SIBERIA"/>
              <i n="[Peaje.Nombre].[SUPIA]" c="SUPIA"/>
              <i n="[Peaje.Nombre].[TARAPACA I]" c="TARAPACA I"/>
              <i n="[Peaje.Nombre].[TARAPACA II]" c="TARAPACA II"/>
              <i n="[Peaje.Nombre].[TUCURINCA]" c="TUCURINCA"/>
              <i n="[Peaje.Nombre].[TUNIA]" c="TUNIA"/>
              <i n="[Peaje.Nombre].[TURBACO]" c="TURBACO"/>
              <i n="[Peaje.Nombre].[TUTA]" c="TUTA"/>
              <i n="[Peaje.Nombre].[VALENCIA]" c="VALENCIA"/>
              <i n="[Peaje.Nombre].[VILLARICA]" c="VILLARICA"/>
              <i n="[Peaje.Nombre].[ZAMBITO]" c="ZAMBITO"/>
            </range>
          </ranges>
        </level>
      </levels>
      <selections count="4">
        <selection n="[Peaje.Nombre].[BAYUNCA]"/>
        <selection n="[Peaje.Nombre].[PUERTO COLOMBIA]"/>
        <selection n="[Peaje.Nombre].[SAN ONOFRE]"/>
        <selection n="[Peaje.Nombre].[TURBACO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1" xr10:uid="{F45C247F-1DD5-4389-8F1E-3E0951103DC1}" sourceName="[Peaje.Departamento]">
  <pivotTables>
    <pivotTable tabId="3" name="TablaDinámica2"/>
  </pivotTables>
  <data>
    <olap pivotCacheId="377027819">
      <levels count="2">
        <level uniqueName="[Peaje.Departamento].[(All)]" sourceCaption="(All)" count="0"/>
        <level uniqueName="[Peaje.Departamento].[Departamento]" sourceCaption="Departamento" count="21">
          <ranges>
            <range startItem="0">
              <i n="[Peaje.Departamento].[Antioquia]" c="Antioquia"/>
              <i n="[Peaje.Departamento].[Atlantico]" c="Atlantico"/>
              <i n="[Peaje.Departamento].[Bolivar]" c="Bolivar"/>
              <i n="[Peaje.Departamento].[Boyaca]" c="Boyaca"/>
              <i n="[Peaje.Departamento].[Caldas]" c="Caldas"/>
              <i n="[Peaje.Departamento].[Cauca]" c="Cauca"/>
              <i n="[Peaje.Departamento].[Cesar]" c="Cesar"/>
              <i n="[Peaje.Departamento].[Cordoba]" c="Cordoba"/>
              <i n="[Peaje.Departamento].[Cundinamarca]" c="Cundinamarca"/>
              <i n="[Peaje.Departamento].[Huila]" c="Huila"/>
              <i n="[Peaje.Departamento].[La Guajira]" c="La Guajira"/>
              <i n="[Peaje.Departamento].[Magdalena]" c="Magdalena"/>
              <i n="[Peaje.Departamento].[Meta]" c="Meta"/>
              <i n="[Peaje.Departamento].[Narino]" c="Narino"/>
              <i n="[Peaje.Departamento].[Norte de Santander]" c="Norte de Santander"/>
              <i n="[Peaje.Departamento].[Quindio]" c="Quindio"/>
              <i n="[Peaje.Departamento].[Risaralda]" c="Risaralda"/>
              <i n="[Peaje.Departamento].[Santander]" c="Santander"/>
              <i n="[Peaje.Departamento].[Sucre]" c="Sucre"/>
              <i n="[Peaje.Departamento].[Tolima]" c="Tolima"/>
              <i n="[Peaje.Departamento].[Valle del Cauca]" c="Valle del Cauca"/>
            </range>
          </ranges>
        </level>
      </levels>
      <selections count="3">
        <selection n="[Peaje.Departamento].[Antioquia]"/>
        <selection n="[Peaje.Departamento].[Atlantico]"/>
        <selection n="[Peaje.Departamento].[Bolivar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1" xr10:uid="{BB98C774-B31A-4C54-83D4-B35F18AD9FD9}" sourceName="[Peaje.Nombre]">
  <pivotTables>
    <pivotTable tabId="4" name="TablaDinámica3"/>
  </pivotTables>
  <data>
    <olap pivotCacheId="1576758141">
      <levels count="2">
        <level uniqueName="[Peaje.Nombre].[(All)]" sourceCaption="(All)" count="0"/>
        <level uniqueName="[Peaje.Nombre].[Nombre]" sourceCaption="Nombre" count="90">
          <ranges>
            <range startItem="0">
              <i n="[Peaje.Nombre].[ACAPULCO]" c="ACAPULCO"/>
              <i n="[Peaje.Nombre].[AGUAS NEGRAS]" c="AGUAS NEGRAS"/>
              <i n="[Peaje.Nombre].[ALBARRACIN]" c="ALBARRACIN"/>
              <i n="[Peaje.Nombre].[ALTAMIRA]" c="ALTAMIRA"/>
              <i n="[Peaje.Nombre].[ALTO PINO]" c="ALTO PINO"/>
              <i n="[Peaje.Nombre].[ALVARADO]" c="ALVARADO"/>
              <i n="[Peaje.Nombre].[AMAGA]" c="AMAGA"/>
              <i n="[Peaje.Nombre].[BAYUNCA]" c="BAYUNCA"/>
              <i n="[Peaje.Nombre].[CAIMANERA]" c="CAIMANERA"/>
              <i n="[Peaje.Nombre].[CALAMAR]" c="CALAMAR"/>
              <i n="[Peaje.Nombre].[CAMBAO]" c="CAMBAO"/>
              <i n="[Peaje.Nombre].[CANO]" c="CANO"/>
              <i n="[Peaje.Nombre].[CASABLANCA]" c="CASABLANCA"/>
              <i n="[Peaje.Nombre].[CASETABLA]" c="CASETABLA"/>
              <i n="[Peaje.Nombre].[CENCAR]" c="CENCAR"/>
              <i n="[Peaje.Nombre].[CERRITOS II]" c="CERRITOS II"/>
              <i n="[Peaje.Nombre].[CHICORAL]" c="CHICORAL"/>
              <i n="[Peaje.Nombre].[CIAT]" c="CIAT"/>
              <i n="[Peaje.Nombre].[CIRCASIA]" c="CIRCASIA"/>
              <i n="[Peaje.Nombre].[CISNEROS]" c="CISNEROS"/>
              <i n="[Peaje.Nombre].[COCORNA]" c="COCORNA"/>
              <i n="[Peaje.Nombre].[COROZAL]" c="COROZAL"/>
              <i n="[Peaje.Nombre].[DAZA]" c="DAZA"/>
              <i n="[Peaje.Nombre].[EL CARMEN]" c="EL CARMEN"/>
              <i n="[Peaje.Nombre].[EL COPEY]" c="EL COPEY"/>
              <i n="[Peaje.Nombre].[EL DIFICIL]" c="EL DIFICIL"/>
              <i n="[Peaje.Nombre].[EL EBANAL]" c="EL EBANAL"/>
              <i n="[Peaje.Nombre].[EL ESCOBAL]" c="EL ESCOBAL"/>
              <i n="[Peaje.Nombre].[EL KORAN]" c="EL KORAN"/>
              <i n="[Peaje.Nombre].[EL ROBLE]" c="EL ROBLE"/>
              <i n="[Peaje.Nombre].[ESTAMBUL]" c="ESTAMBUL"/>
              <i n="[Peaje.Nombre].[GAMARRA]" c="GAMARRA"/>
              <i n="[Peaje.Nombre].[GAMBOTE]" c="GAMBOTE"/>
              <i n="[Peaje.Nombre].[GUALANDAY]" c="GUALANDAY"/>
              <i n="[Peaje.Nombre].[GUARNE]" c="GUARNE"/>
              <i n="[Peaje.Nombre].[GUATAQUI]" c="GUATAQUI"/>
              <i n="[Peaje.Nombre].[HONDA]" c="HONDA"/>
              <i n="[Peaje.Nombre].[LA APARTADA]" c="LA APARTADA"/>
              <i n="[Peaje.Nombre].[LA CABANA]" c="LA CABANA"/>
              <i n="[Peaje.Nombre].[LA ESPERANZA]" c="LA ESPERANZA"/>
              <i n="[Peaje.Nombre].[LA GOMEZ]" c="LA GOMEZ"/>
              <i n="[Peaje.Nombre].[LA LOMA]" c="LA LOMA"/>
              <i n="[Peaje.Nombre].[LA PARADA]" c="LA PARADA"/>
              <i n="[Peaje.Nombre].[LA PINTADA]" c="LA PINTADA"/>
              <i n="[Peaje.Nombre].[LAS FLORES]" c="LAS FLORES"/>
              <i n="[Peaje.Nombre].[LAS PALMAS]" c="LAS PALMAS"/>
              <i n="[Peaje.Nombre].[LEBRIJA]" c="LEBRIJA"/>
              <i n="[Peaje.Nombre].[LOS ACACIOS]" c="LOS ACACIOS"/>
              <i n="[Peaje.Nombre].[LOS CAUCHOS]" c="LOS CAUCHOS"/>
              <i n="[Peaje.Nombre].[LOS CUROS]" c="LOS CUROS"/>
              <i n="[Peaje.Nombre].[MACHETA]" c="MACHETA"/>
              <i n="[Peaje.Nombre].[MARAHUACO]" c="MARAHUACO"/>
              <i n="[Peaje.Nombre].[MATA DE CANA]" c="MATA DE CANA"/>
              <i n="[Peaje.Nombre].[MEDIACANOA]" c="MEDIACANOA"/>
              <i n="[Peaje.Nombre].[MORRISON]" c="MORRISON"/>
              <i n="[Peaje.Nombre].[OIBA]" c="OIBA"/>
              <i n="[Peaje.Nombre].[PAILITAS]" c="PAILITAS"/>
              <i n="[Peaje.Nombre].[PALMITAS]" c="PALMITAS"/>
              <i n="[Peaje.Nombre].[PAPIROS]" c="PAPIROS"/>
              <i n="[Peaje.Nombre].[PARAGUACHON]" c="PARAGUACHON"/>
              <i n="[Peaje.Nombre].[PASACABALLOS]" c="PASACABALLOS"/>
              <i n="[Peaje.Nombre].[PASO DE LA TORRE]" c="PASO DE LA TORRE"/>
              <i n="[Peaje.Nombre].[PIPIRAL]" c="PIPIRAL"/>
              <i n="[Peaje.Nombre].[PLATANAL]" c="PLATANAL"/>
              <i n="[Peaje.Nombre].[PUENTE PLATO]" c="PUENTE PLATO"/>
              <i n="[Peaje.Nombre].[PUERTO BERRIO]" c="PUERTO BERRIO"/>
              <i n="[Peaje.Nombre].[PUERTO COLOMBIA]" c="PUERTO COLOMBIA"/>
              <i n="[Peaje.Nombre].[RINCON HONDO]" c="RINCON HONDO"/>
              <i n="[Peaje.Nombre].[RIO BOGOTA]" c="RIO BOGOTA"/>
              <i n="[Peaje.Nombre].[RIO SOGAMOSO]" c="RIO SOGAMOSO"/>
              <i n="[Peaje.Nombre].[RIONEGRO]" c="RIONEGRO"/>
              <i n="[Peaje.Nombre].[ROZO]" c="ROZO"/>
              <i n="[Peaje.Nombre].[SABANAGRANDE]" c="SABANAGRANDE"/>
              <i n="[Peaje.Nombre].[SABOYA]" c="SABOYA"/>
              <i n="[Peaje.Nombre].[SAN CARLOS]" c="SAN CARLOS"/>
              <i n="[Peaje.Nombre].[SAN CRISTOBAL]" c="SAN CRISTOBAL"/>
              <i n="[Peaje.Nombre].[SAN DIEGO]" c="SAN DIEGO"/>
              <i n="[Peaje.Nombre].[SAN JUAN]" c="SAN JUAN"/>
              <i n="[Peaje.Nombre].[SAN ONOFRE]" c="SAN ONOFRE"/>
              <i n="[Peaje.Nombre].[SIBERIA]" c="SIBERIA"/>
              <i n="[Peaje.Nombre].[SUPIA]" c="SUPIA"/>
              <i n="[Peaje.Nombre].[TARAPACA I]" c="TARAPACA I"/>
              <i n="[Peaje.Nombre].[TARAPACA II]" c="TARAPACA II"/>
              <i n="[Peaje.Nombre].[TUCURINCA]" c="TUCURINCA"/>
              <i n="[Peaje.Nombre].[TUNIA]" c="TUNIA"/>
              <i n="[Peaje.Nombre].[TURBACO]" c="TURBACO"/>
              <i n="[Peaje.Nombre].[TUTA]" c="TUTA"/>
              <i n="[Peaje.Nombre].[VALENCIA]" c="VALENCIA"/>
              <i n="[Peaje.Nombre].[VILLARICA]" c="VILLARICA"/>
              <i n="[Peaje.Nombre].[ZAMBITO]" c="ZAMBITO"/>
            </range>
          </ranges>
        </level>
      </levels>
      <selections count="4">
        <selection n="[Peaje.Nombre].[BAYUNCA]"/>
        <selection n="[Peaje.Nombre].[PUERTO COLOMBIA]"/>
        <selection n="[Peaje.Nombre].[SAN ONOFRE]"/>
        <selection n="[Peaje.Nombre].[TURBACO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DF3979FE-56BE-489C-AC44-F76B46765B33}" cache="SegmentaciónDeDatos_Departamento" caption="Departamento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" xr10:uid="{2758A5C8-13F8-4E7F-94C2-89B3A68C9DA2}" cache="SegmentaciónDeDatos_Nombre" caption="Nombre" level="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 1" xr10:uid="{830DD78B-9B1D-4B8A-8451-ED7D426F6130}" cache="SegmentaciónDeDatos_Departamento1" caption="Departamento" level="1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1" xr10:uid="{20C30E09-65C9-4FDE-BEE2-E4E6CEF0DDDC}" cache="SegmentaciónDeDatos_Nombre1" caption="Nombre" level="1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D695-64A7-48E5-A0B8-1BF9A1CA968F}">
  <dimension ref="A3:F31"/>
  <sheetViews>
    <sheetView workbookViewId="0">
      <selection activeCell="T12" sqref="T12"/>
    </sheetView>
  </sheetViews>
  <sheetFormatPr baseColWidth="10" defaultColWidth="11.42578125" defaultRowHeight="15" x14ac:dyDescent="0.25"/>
  <cols>
    <col min="1" max="1" width="17.5703125" bestFit="1" customWidth="1"/>
    <col min="2" max="2" width="22.42578125" bestFit="1" customWidth="1"/>
    <col min="3" max="4" width="9" bestFit="1" customWidth="1"/>
    <col min="5" max="5" width="8" bestFit="1" customWidth="1"/>
    <col min="6" max="6" width="12.5703125" bestFit="1" customWidth="1"/>
    <col min="7" max="7" width="14.42578125" bestFit="1" customWidth="1"/>
    <col min="8" max="9" width="12.5703125" bestFit="1" customWidth="1"/>
  </cols>
  <sheetData>
    <row r="3" spans="1:6" x14ac:dyDescent="0.25">
      <c r="A3" s="1" t="s">
        <v>0</v>
      </c>
      <c r="B3" s="1" t="s">
        <v>1</v>
      </c>
    </row>
    <row r="4" spans="1:6" x14ac:dyDescent="0.25">
      <c r="A4" s="1" t="s">
        <v>2</v>
      </c>
      <c r="B4" t="s">
        <v>3</v>
      </c>
      <c r="C4" t="s">
        <v>4</v>
      </c>
      <c r="D4" t="s">
        <v>5</v>
      </c>
      <c r="E4" t="s">
        <v>22</v>
      </c>
      <c r="F4" t="s">
        <v>6</v>
      </c>
    </row>
    <row r="5" spans="1:6" x14ac:dyDescent="0.25">
      <c r="A5" s="2" t="s">
        <v>7</v>
      </c>
      <c r="B5" s="4">
        <v>6212460</v>
      </c>
      <c r="C5" s="4">
        <v>12819088</v>
      </c>
      <c r="D5" s="4">
        <v>5669090</v>
      </c>
      <c r="E5" s="4">
        <v>3968797</v>
      </c>
      <c r="F5" s="4">
        <v>28669435</v>
      </c>
    </row>
    <row r="6" spans="1:6" x14ac:dyDescent="0.25">
      <c r="A6" s="3" t="s">
        <v>8</v>
      </c>
      <c r="B6" s="4">
        <v>571676</v>
      </c>
      <c r="C6" s="4">
        <v>1182267</v>
      </c>
      <c r="D6" s="4">
        <v>573514</v>
      </c>
      <c r="E6" s="4">
        <v>380979</v>
      </c>
      <c r="F6" s="4">
        <v>2708436</v>
      </c>
    </row>
    <row r="7" spans="1:6" x14ac:dyDescent="0.25">
      <c r="A7" s="3" t="s">
        <v>9</v>
      </c>
      <c r="B7" s="4">
        <v>475876</v>
      </c>
      <c r="C7" s="4">
        <v>993184</v>
      </c>
      <c r="D7" s="4">
        <v>404530</v>
      </c>
      <c r="E7" s="4">
        <v>276340</v>
      </c>
      <c r="F7" s="4">
        <v>2149930</v>
      </c>
    </row>
    <row r="8" spans="1:6" x14ac:dyDescent="0.25">
      <c r="A8" s="3" t="s">
        <v>10</v>
      </c>
      <c r="B8" s="4">
        <v>537425</v>
      </c>
      <c r="C8" s="4">
        <v>1123928</v>
      </c>
      <c r="D8" s="4">
        <v>502926</v>
      </c>
      <c r="E8" s="4">
        <v>340077</v>
      </c>
      <c r="F8" s="4">
        <v>2504356</v>
      </c>
    </row>
    <row r="9" spans="1:6" x14ac:dyDescent="0.25">
      <c r="A9" s="3" t="s">
        <v>11</v>
      </c>
      <c r="B9" s="4">
        <v>481857</v>
      </c>
      <c r="C9" s="4">
        <v>995677</v>
      </c>
      <c r="D9" s="4">
        <v>411777</v>
      </c>
      <c r="E9" s="4">
        <v>273413</v>
      </c>
      <c r="F9" s="4">
        <v>2162724</v>
      </c>
    </row>
    <row r="10" spans="1:6" x14ac:dyDescent="0.25">
      <c r="A10" s="3" t="s">
        <v>12</v>
      </c>
      <c r="B10" s="4">
        <v>515544</v>
      </c>
      <c r="C10" s="4">
        <v>1040151</v>
      </c>
      <c r="D10" s="4">
        <v>464083</v>
      </c>
      <c r="E10" s="4">
        <v>302355</v>
      </c>
      <c r="F10" s="4">
        <v>2322133</v>
      </c>
    </row>
    <row r="11" spans="1:6" x14ac:dyDescent="0.25">
      <c r="A11" s="3" t="s">
        <v>13</v>
      </c>
      <c r="B11" s="4">
        <v>500580</v>
      </c>
      <c r="C11" s="4">
        <v>1022923</v>
      </c>
      <c r="D11" s="4">
        <v>444573</v>
      </c>
      <c r="E11" s="4">
        <v>287181</v>
      </c>
      <c r="F11" s="4">
        <v>2255257</v>
      </c>
    </row>
    <row r="12" spans="1:6" x14ac:dyDescent="0.25">
      <c r="A12" s="3" t="s">
        <v>14</v>
      </c>
      <c r="B12" s="4">
        <v>535107</v>
      </c>
      <c r="C12" s="4">
        <v>1077390</v>
      </c>
      <c r="D12" s="4">
        <v>397852</v>
      </c>
      <c r="E12" s="4">
        <v>310545</v>
      </c>
      <c r="F12" s="4">
        <v>2320894</v>
      </c>
    </row>
    <row r="13" spans="1:6" x14ac:dyDescent="0.25">
      <c r="A13" s="3" t="s">
        <v>15</v>
      </c>
      <c r="B13" s="4">
        <v>523034</v>
      </c>
      <c r="C13" s="4">
        <v>1079987</v>
      </c>
      <c r="D13" s="4">
        <v>483870</v>
      </c>
      <c r="E13" s="4">
        <v>394667</v>
      </c>
      <c r="F13" s="4">
        <v>2481558</v>
      </c>
    </row>
    <row r="14" spans="1:6" x14ac:dyDescent="0.25">
      <c r="A14" s="3" t="s">
        <v>16</v>
      </c>
      <c r="B14" s="4">
        <v>495762</v>
      </c>
      <c r="C14" s="4">
        <v>1025854</v>
      </c>
      <c r="D14" s="4">
        <v>431907</v>
      </c>
      <c r="E14" s="4">
        <v>374831</v>
      </c>
      <c r="F14" s="4">
        <v>2328354</v>
      </c>
    </row>
    <row r="15" spans="1:6" x14ac:dyDescent="0.25">
      <c r="A15" s="3" t="s">
        <v>17</v>
      </c>
      <c r="B15" s="4">
        <v>514350</v>
      </c>
      <c r="C15" s="4">
        <v>1066487</v>
      </c>
      <c r="D15" s="4">
        <v>491685</v>
      </c>
      <c r="E15" s="4">
        <v>333311</v>
      </c>
      <c r="F15" s="4">
        <v>2405833</v>
      </c>
    </row>
    <row r="16" spans="1:6" x14ac:dyDescent="0.25">
      <c r="A16" s="3" t="s">
        <v>18</v>
      </c>
      <c r="B16" s="4">
        <v>494199</v>
      </c>
      <c r="C16" s="4">
        <v>1016427</v>
      </c>
      <c r="D16" s="5">
        <v>469486</v>
      </c>
      <c r="E16" s="4">
        <v>321097</v>
      </c>
      <c r="F16" s="4">
        <v>2301209</v>
      </c>
    </row>
    <row r="17" spans="1:6" x14ac:dyDescent="0.25">
      <c r="A17" s="3" t="s">
        <v>19</v>
      </c>
      <c r="B17" s="4">
        <v>567050</v>
      </c>
      <c r="C17" s="4">
        <v>1194813</v>
      </c>
      <c r="D17" s="4">
        <v>592887</v>
      </c>
      <c r="E17" s="4">
        <v>374001</v>
      </c>
      <c r="F17" s="4">
        <v>2728751</v>
      </c>
    </row>
    <row r="18" spans="1:6" x14ac:dyDescent="0.25">
      <c r="A18" s="2" t="s">
        <v>21</v>
      </c>
      <c r="B18" s="4">
        <v>6606872</v>
      </c>
      <c r="C18" s="4">
        <v>14536336</v>
      </c>
      <c r="D18" s="4">
        <v>4993202</v>
      </c>
      <c r="E18" s="4">
        <v>3998201</v>
      </c>
      <c r="F18" s="4">
        <v>30134611</v>
      </c>
    </row>
    <row r="19" spans="1:6" x14ac:dyDescent="0.25">
      <c r="A19" s="3" t="s">
        <v>8</v>
      </c>
      <c r="B19" s="4">
        <v>584485</v>
      </c>
      <c r="C19" s="4">
        <v>1339324</v>
      </c>
      <c r="D19" s="4">
        <v>460916</v>
      </c>
      <c r="E19" s="4">
        <v>411520</v>
      </c>
      <c r="F19" s="4">
        <v>2796245</v>
      </c>
    </row>
    <row r="20" spans="1:6" x14ac:dyDescent="0.25">
      <c r="A20" s="3" t="s">
        <v>9</v>
      </c>
      <c r="B20" s="4">
        <v>490646</v>
      </c>
      <c r="C20" s="4">
        <v>1087203</v>
      </c>
      <c r="D20" s="4">
        <v>342177</v>
      </c>
      <c r="E20" s="4">
        <v>305082</v>
      </c>
      <c r="F20" s="4">
        <v>2225108</v>
      </c>
    </row>
    <row r="21" spans="1:6" x14ac:dyDescent="0.25">
      <c r="A21" s="3" t="s">
        <v>10</v>
      </c>
      <c r="B21" s="4">
        <v>563680</v>
      </c>
      <c r="C21" s="4">
        <v>1259549</v>
      </c>
      <c r="D21" s="4">
        <v>410338</v>
      </c>
      <c r="E21" s="4">
        <v>340053</v>
      </c>
      <c r="F21" s="4">
        <v>2573620</v>
      </c>
    </row>
    <row r="22" spans="1:6" x14ac:dyDescent="0.25">
      <c r="A22" s="3" t="s">
        <v>11</v>
      </c>
      <c r="B22" s="4">
        <v>515773</v>
      </c>
      <c r="C22" s="4">
        <v>1185140</v>
      </c>
      <c r="D22" s="4">
        <v>370527</v>
      </c>
      <c r="E22" s="4">
        <v>312161</v>
      </c>
      <c r="F22" s="4">
        <v>2383601</v>
      </c>
    </row>
    <row r="23" spans="1:6" x14ac:dyDescent="0.25">
      <c r="A23" s="3" t="s">
        <v>12</v>
      </c>
      <c r="B23" s="4">
        <v>518483</v>
      </c>
      <c r="C23" s="4">
        <v>1155919</v>
      </c>
      <c r="D23" s="4">
        <v>385147</v>
      </c>
      <c r="E23" s="4">
        <v>313131</v>
      </c>
      <c r="F23" s="4">
        <v>2372680</v>
      </c>
    </row>
    <row r="24" spans="1:6" x14ac:dyDescent="0.25">
      <c r="A24" s="3" t="s">
        <v>13</v>
      </c>
      <c r="B24" s="4">
        <v>515399</v>
      </c>
      <c r="C24" s="4">
        <v>1149420</v>
      </c>
      <c r="D24" s="4">
        <v>405375</v>
      </c>
      <c r="E24" s="4">
        <v>308042</v>
      </c>
      <c r="F24" s="4">
        <v>2378236</v>
      </c>
    </row>
    <row r="25" spans="1:6" x14ac:dyDescent="0.25">
      <c r="A25" s="3" t="s">
        <v>14</v>
      </c>
      <c r="B25" s="4">
        <v>644308</v>
      </c>
      <c r="C25" s="4">
        <v>1234741</v>
      </c>
      <c r="D25" s="4">
        <v>428274</v>
      </c>
      <c r="E25" s="4">
        <v>343344</v>
      </c>
      <c r="F25" s="4">
        <v>2650667</v>
      </c>
    </row>
    <row r="26" spans="1:6" x14ac:dyDescent="0.25">
      <c r="A26" s="3" t="s">
        <v>15</v>
      </c>
      <c r="B26" s="4">
        <v>548612</v>
      </c>
      <c r="C26" s="4">
        <v>1222785</v>
      </c>
      <c r="D26" s="4">
        <v>422143</v>
      </c>
      <c r="E26" s="4">
        <v>338234</v>
      </c>
      <c r="F26" s="4">
        <v>2531774</v>
      </c>
    </row>
    <row r="27" spans="1:6" x14ac:dyDescent="0.25">
      <c r="A27" s="3" t="s">
        <v>16</v>
      </c>
      <c r="B27" s="4">
        <v>519391</v>
      </c>
      <c r="C27" s="4">
        <v>1152819</v>
      </c>
      <c r="D27" s="4">
        <v>388911</v>
      </c>
      <c r="E27" s="4">
        <v>300174</v>
      </c>
      <c r="F27" s="4">
        <v>2361295</v>
      </c>
    </row>
    <row r="28" spans="1:6" x14ac:dyDescent="0.25">
      <c r="A28" s="3" t="s">
        <v>17</v>
      </c>
      <c r="B28" s="4">
        <v>549824</v>
      </c>
      <c r="C28" s="4">
        <v>1223010</v>
      </c>
      <c r="D28" s="4">
        <v>419903</v>
      </c>
      <c r="E28" s="4">
        <v>332536</v>
      </c>
      <c r="F28" s="4">
        <v>2525273</v>
      </c>
    </row>
    <row r="29" spans="1:6" x14ac:dyDescent="0.25">
      <c r="A29" s="3" t="s">
        <v>18</v>
      </c>
      <c r="B29" s="4">
        <v>545526</v>
      </c>
      <c r="C29" s="4">
        <v>1163234</v>
      </c>
      <c r="D29" s="4">
        <v>417536</v>
      </c>
      <c r="E29" s="4">
        <v>319192</v>
      </c>
      <c r="F29" s="4">
        <v>2445488</v>
      </c>
    </row>
    <row r="30" spans="1:6" x14ac:dyDescent="0.25">
      <c r="A30" s="3" t="s">
        <v>19</v>
      </c>
      <c r="B30" s="4">
        <v>610745</v>
      </c>
      <c r="C30" s="4">
        <v>1363192</v>
      </c>
      <c r="D30" s="4">
        <v>541955</v>
      </c>
      <c r="E30" s="4">
        <v>374732</v>
      </c>
      <c r="F30" s="4">
        <v>2890624</v>
      </c>
    </row>
    <row r="31" spans="1:6" x14ac:dyDescent="0.25">
      <c r="A31" s="2" t="s">
        <v>6</v>
      </c>
      <c r="B31" s="4">
        <v>12819332</v>
      </c>
      <c r="C31" s="4">
        <v>27355424</v>
      </c>
      <c r="D31" s="4">
        <v>10662292</v>
      </c>
      <c r="E31" s="4">
        <v>7966998</v>
      </c>
      <c r="F31" s="4">
        <v>58804046</v>
      </c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A229-C871-48F9-8744-7D3098A852A9}">
  <dimension ref="A3:F31"/>
  <sheetViews>
    <sheetView workbookViewId="0">
      <selection activeCell="S15" sqref="S15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8.42578125" bestFit="1" customWidth="1"/>
    <col min="4" max="4" width="12.5703125" bestFit="1" customWidth="1"/>
    <col min="5" max="5" width="9.5703125" bestFit="1" customWidth="1"/>
    <col min="6" max="6" width="12.5703125" bestFit="1" customWidth="1"/>
    <col min="7" max="10" width="12" bestFit="1" customWidth="1"/>
    <col min="11" max="11" width="13.42578125" bestFit="1" customWidth="1"/>
    <col min="12" max="12" width="9.140625" bestFit="1" customWidth="1"/>
    <col min="13" max="13" width="6.28515625" bestFit="1" customWidth="1"/>
    <col min="14" max="14" width="12.85546875" bestFit="1" customWidth="1"/>
    <col min="15" max="23" width="12" bestFit="1" customWidth="1"/>
    <col min="24" max="24" width="5.85546875" bestFit="1" customWidth="1"/>
    <col min="25" max="34" width="12" bestFit="1" customWidth="1"/>
    <col min="35" max="35" width="12.42578125" bestFit="1" customWidth="1"/>
    <col min="36" max="36" width="12" bestFit="1" customWidth="1"/>
    <col min="37" max="37" width="10.85546875" bestFit="1" customWidth="1"/>
    <col min="38" max="38" width="12" bestFit="1" customWidth="1"/>
    <col min="39" max="39" width="13.28515625" bestFit="1" customWidth="1"/>
    <col min="40" max="40" width="12" bestFit="1" customWidth="1"/>
    <col min="41" max="41" width="13.85546875" bestFit="1" customWidth="1"/>
    <col min="42" max="47" width="12" bestFit="1" customWidth="1"/>
    <col min="48" max="48" width="7.7109375" bestFit="1" customWidth="1"/>
    <col min="49" max="49" width="12.5703125" bestFit="1" customWidth="1"/>
    <col min="50" max="50" width="13.42578125" bestFit="1" customWidth="1"/>
    <col min="51" max="52" width="12" bestFit="1" customWidth="1"/>
    <col min="53" max="53" width="13.140625" bestFit="1" customWidth="1"/>
    <col min="54" max="54" width="14.7109375" bestFit="1" customWidth="1"/>
    <col min="55" max="55" width="13.5703125" bestFit="1" customWidth="1"/>
    <col min="56" max="60" width="12" bestFit="1" customWidth="1"/>
    <col min="61" max="61" width="15.28515625" bestFit="1" customWidth="1"/>
    <col min="62" max="62" width="14.7109375" bestFit="1" customWidth="1"/>
    <col min="63" max="63" width="17.42578125" bestFit="1" customWidth="1"/>
    <col min="64" max="65" width="12" bestFit="1" customWidth="1"/>
    <col min="66" max="66" width="14.140625" bestFit="1" customWidth="1"/>
    <col min="67" max="67" width="15" bestFit="1" customWidth="1"/>
    <col min="68" max="68" width="18.42578125" bestFit="1" customWidth="1"/>
    <col min="69" max="69" width="15.42578125" bestFit="1" customWidth="1"/>
    <col min="70" max="70" width="12.28515625" bestFit="1" customWidth="1"/>
    <col min="71" max="71" width="15.42578125" bestFit="1" customWidth="1"/>
    <col min="72" max="72" width="10.5703125" bestFit="1" customWidth="1"/>
    <col min="73" max="73" width="12" bestFit="1" customWidth="1"/>
    <col min="74" max="74" width="16.140625" bestFit="1" customWidth="1"/>
    <col min="75" max="76" width="12" bestFit="1" customWidth="1"/>
    <col min="77" max="77" width="14.7109375" bestFit="1" customWidth="1"/>
    <col min="78" max="79" width="12" bestFit="1" customWidth="1"/>
    <col min="80" max="80" width="12.5703125" bestFit="1" customWidth="1"/>
    <col min="81" max="83" width="12" bestFit="1" customWidth="1"/>
    <col min="84" max="84" width="12.140625" bestFit="1" customWidth="1"/>
    <col min="85" max="91" width="12" bestFit="1" customWidth="1"/>
    <col min="92" max="92" width="12.5703125" bestFit="1" customWidth="1"/>
  </cols>
  <sheetData>
    <row r="3" spans="1:6" x14ac:dyDescent="0.25">
      <c r="A3" s="1" t="s">
        <v>0</v>
      </c>
      <c r="B3" s="1" t="s">
        <v>1</v>
      </c>
    </row>
    <row r="4" spans="1:6" x14ac:dyDescent="0.25">
      <c r="A4" s="1" t="s">
        <v>2</v>
      </c>
      <c r="B4" t="s">
        <v>23</v>
      </c>
      <c r="C4" t="s">
        <v>24</v>
      </c>
      <c r="D4" t="s">
        <v>25</v>
      </c>
      <c r="E4" t="s">
        <v>26</v>
      </c>
      <c r="F4" t="s">
        <v>6</v>
      </c>
    </row>
    <row r="5" spans="1:6" x14ac:dyDescent="0.25">
      <c r="A5" s="2" t="s">
        <v>7</v>
      </c>
      <c r="B5" s="4">
        <v>1390282</v>
      </c>
      <c r="C5" s="4">
        <v>2114185</v>
      </c>
      <c r="D5" s="4">
        <v>744772</v>
      </c>
      <c r="E5" s="4">
        <v>5653550</v>
      </c>
      <c r="F5" s="4">
        <v>9902789</v>
      </c>
    </row>
    <row r="6" spans="1:6" x14ac:dyDescent="0.25">
      <c r="A6" s="3" t="s">
        <v>8</v>
      </c>
      <c r="B6" s="4">
        <v>116947</v>
      </c>
      <c r="C6" s="4">
        <v>224862</v>
      </c>
      <c r="D6" s="4">
        <v>81662</v>
      </c>
      <c r="E6" s="4">
        <v>481638</v>
      </c>
      <c r="F6" s="4">
        <v>905109</v>
      </c>
    </row>
    <row r="7" spans="1:6" x14ac:dyDescent="0.25">
      <c r="A7" s="3" t="s">
        <v>9</v>
      </c>
      <c r="B7" s="4">
        <v>109844</v>
      </c>
      <c r="C7" s="4">
        <v>161503</v>
      </c>
      <c r="D7" s="4">
        <v>57323</v>
      </c>
      <c r="E7" s="4">
        <v>440258</v>
      </c>
      <c r="F7" s="4">
        <v>768928</v>
      </c>
    </row>
    <row r="8" spans="1:6" x14ac:dyDescent="0.25">
      <c r="A8" s="3" t="s">
        <v>10</v>
      </c>
      <c r="B8" s="4">
        <v>119595</v>
      </c>
      <c r="C8" s="4">
        <v>193958</v>
      </c>
      <c r="D8" s="4">
        <v>74191</v>
      </c>
      <c r="E8" s="4">
        <v>480517</v>
      </c>
      <c r="F8" s="4">
        <v>868261</v>
      </c>
    </row>
    <row r="9" spans="1:6" x14ac:dyDescent="0.25">
      <c r="A9" s="3" t="s">
        <v>11</v>
      </c>
      <c r="B9" s="4">
        <v>112577</v>
      </c>
      <c r="C9" s="4">
        <v>149624</v>
      </c>
      <c r="D9" s="4">
        <v>54475</v>
      </c>
      <c r="E9" s="4">
        <v>455233</v>
      </c>
      <c r="F9" s="4">
        <v>771909</v>
      </c>
    </row>
    <row r="10" spans="1:6" x14ac:dyDescent="0.25">
      <c r="A10" s="3" t="s">
        <v>12</v>
      </c>
      <c r="B10" s="4">
        <v>111040</v>
      </c>
      <c r="C10" s="4">
        <v>170995</v>
      </c>
      <c r="D10" s="4">
        <v>60597</v>
      </c>
      <c r="E10" s="4">
        <v>474672</v>
      </c>
      <c r="F10" s="4">
        <v>817304</v>
      </c>
    </row>
    <row r="11" spans="1:6" x14ac:dyDescent="0.25">
      <c r="A11" s="3" t="s">
        <v>13</v>
      </c>
      <c r="B11" s="4">
        <v>112857</v>
      </c>
      <c r="C11" s="4">
        <v>168219</v>
      </c>
      <c r="D11" s="4">
        <v>59654</v>
      </c>
      <c r="E11" s="4">
        <v>457723</v>
      </c>
      <c r="F11" s="4">
        <v>798453</v>
      </c>
    </row>
    <row r="12" spans="1:6" x14ac:dyDescent="0.25">
      <c r="A12" s="3" t="s">
        <v>14</v>
      </c>
      <c r="B12" s="4">
        <v>115163</v>
      </c>
      <c r="C12" s="4">
        <v>198028</v>
      </c>
      <c r="D12" s="4">
        <v>61792</v>
      </c>
      <c r="E12" s="4">
        <v>482933</v>
      </c>
      <c r="F12" s="4">
        <v>857916</v>
      </c>
    </row>
    <row r="13" spans="1:6" x14ac:dyDescent="0.25">
      <c r="A13" s="3" t="s">
        <v>15</v>
      </c>
      <c r="B13" s="4">
        <v>118406</v>
      </c>
      <c r="C13" s="4">
        <v>173502</v>
      </c>
      <c r="D13" s="4">
        <v>61326</v>
      </c>
      <c r="E13" s="4">
        <v>481812</v>
      </c>
      <c r="F13" s="4">
        <v>835046</v>
      </c>
    </row>
    <row r="14" spans="1:6" x14ac:dyDescent="0.25">
      <c r="A14" s="3" t="s">
        <v>16</v>
      </c>
      <c r="B14" s="4">
        <v>114666</v>
      </c>
      <c r="C14" s="4">
        <v>154640</v>
      </c>
      <c r="D14" s="4">
        <v>55921</v>
      </c>
      <c r="E14" s="4">
        <v>468534</v>
      </c>
      <c r="F14" s="4">
        <v>793761</v>
      </c>
    </row>
    <row r="15" spans="1:6" x14ac:dyDescent="0.25">
      <c r="A15" s="3" t="s">
        <v>17</v>
      </c>
      <c r="B15" s="4">
        <v>116168</v>
      </c>
      <c r="C15" s="4">
        <v>170667</v>
      </c>
      <c r="D15" s="4">
        <v>56442</v>
      </c>
      <c r="E15" s="4">
        <v>471112</v>
      </c>
      <c r="F15" s="4">
        <v>814389</v>
      </c>
    </row>
    <row r="16" spans="1:6" x14ac:dyDescent="0.25">
      <c r="A16" s="3" t="s">
        <v>18</v>
      </c>
      <c r="B16" s="4">
        <v>114654</v>
      </c>
      <c r="C16" s="4">
        <v>159063</v>
      </c>
      <c r="D16" s="4">
        <v>54804</v>
      </c>
      <c r="E16" s="4">
        <v>442580</v>
      </c>
      <c r="F16" s="4">
        <v>771101</v>
      </c>
    </row>
    <row r="17" spans="1:6" x14ac:dyDescent="0.25">
      <c r="A17" s="3" t="s">
        <v>19</v>
      </c>
      <c r="B17" s="4">
        <v>128365</v>
      </c>
      <c r="C17" s="4">
        <v>189124</v>
      </c>
      <c r="D17" s="4">
        <v>66585</v>
      </c>
      <c r="E17" s="4">
        <v>516538</v>
      </c>
      <c r="F17" s="4">
        <v>900612</v>
      </c>
    </row>
    <row r="18" spans="1:6" x14ac:dyDescent="0.25">
      <c r="A18" s="2" t="s">
        <v>21</v>
      </c>
      <c r="B18" s="4">
        <v>1333761</v>
      </c>
      <c r="C18" s="4">
        <v>2186839</v>
      </c>
      <c r="D18" s="4">
        <v>724848</v>
      </c>
      <c r="E18" s="4">
        <v>6344146</v>
      </c>
      <c r="F18" s="4">
        <v>10589594</v>
      </c>
    </row>
    <row r="19" spans="1:6" x14ac:dyDescent="0.25">
      <c r="A19" s="3" t="s">
        <v>8</v>
      </c>
      <c r="B19" s="4">
        <v>114486</v>
      </c>
      <c r="C19" s="4">
        <v>214778</v>
      </c>
      <c r="D19" s="4">
        <v>75748</v>
      </c>
      <c r="E19" s="4">
        <v>540918</v>
      </c>
      <c r="F19" s="4">
        <v>945930</v>
      </c>
    </row>
    <row r="20" spans="1:6" x14ac:dyDescent="0.25">
      <c r="A20" s="3" t="s">
        <v>9</v>
      </c>
      <c r="B20" s="4">
        <v>104573</v>
      </c>
      <c r="C20" s="4">
        <v>159335</v>
      </c>
      <c r="D20" s="4">
        <v>51664</v>
      </c>
      <c r="E20" s="4">
        <v>478475</v>
      </c>
      <c r="F20" s="4">
        <v>794047</v>
      </c>
    </row>
    <row r="21" spans="1:6" x14ac:dyDescent="0.25">
      <c r="A21" s="3" t="s">
        <v>10</v>
      </c>
      <c r="B21" s="4">
        <v>114730</v>
      </c>
      <c r="C21" s="4">
        <v>191824</v>
      </c>
      <c r="D21" s="4">
        <v>63951</v>
      </c>
      <c r="E21" s="4">
        <v>542173</v>
      </c>
      <c r="F21" s="4">
        <v>912678</v>
      </c>
    </row>
    <row r="22" spans="1:6" x14ac:dyDescent="0.25">
      <c r="A22" s="3" t="s">
        <v>11</v>
      </c>
      <c r="B22" s="4">
        <v>113303</v>
      </c>
      <c r="C22" s="4">
        <v>157748</v>
      </c>
      <c r="D22" s="4">
        <v>60540</v>
      </c>
      <c r="E22" s="4">
        <v>521376</v>
      </c>
      <c r="F22" s="4">
        <v>852967</v>
      </c>
    </row>
    <row r="23" spans="1:6" x14ac:dyDescent="0.25">
      <c r="A23" s="3" t="s">
        <v>12</v>
      </c>
      <c r="B23" s="4">
        <v>110741</v>
      </c>
      <c r="C23" s="4">
        <v>154361</v>
      </c>
      <c r="D23" s="4">
        <v>56138</v>
      </c>
      <c r="E23" s="4">
        <v>525838</v>
      </c>
      <c r="F23" s="4">
        <v>847078</v>
      </c>
    </row>
    <row r="24" spans="1:6" x14ac:dyDescent="0.25">
      <c r="A24" s="3" t="s">
        <v>13</v>
      </c>
      <c r="B24" s="4">
        <v>109256</v>
      </c>
      <c r="C24" s="4">
        <v>176143</v>
      </c>
      <c r="D24" s="4">
        <v>58363</v>
      </c>
      <c r="E24" s="4">
        <v>506831</v>
      </c>
      <c r="F24" s="4">
        <v>850593</v>
      </c>
    </row>
    <row r="25" spans="1:6" x14ac:dyDescent="0.25">
      <c r="A25" s="3" t="s">
        <v>14</v>
      </c>
      <c r="B25" s="4">
        <v>112698</v>
      </c>
      <c r="C25" s="4">
        <v>201883</v>
      </c>
      <c r="D25" s="4">
        <v>62393</v>
      </c>
      <c r="E25" s="4">
        <v>540190</v>
      </c>
      <c r="F25" s="4">
        <v>917164</v>
      </c>
    </row>
    <row r="26" spans="1:6" x14ac:dyDescent="0.25">
      <c r="A26" s="3" t="s">
        <v>15</v>
      </c>
      <c r="B26" s="4">
        <v>110426</v>
      </c>
      <c r="C26" s="4">
        <v>184915</v>
      </c>
      <c r="D26" s="4">
        <v>58692</v>
      </c>
      <c r="E26" s="4">
        <v>543660</v>
      </c>
      <c r="F26" s="4">
        <v>897693</v>
      </c>
    </row>
    <row r="27" spans="1:6" x14ac:dyDescent="0.25">
      <c r="A27" s="3" t="s">
        <v>16</v>
      </c>
      <c r="B27" s="4">
        <v>104440</v>
      </c>
      <c r="C27" s="4">
        <v>163986</v>
      </c>
      <c r="D27" s="4">
        <v>53250</v>
      </c>
      <c r="E27" s="4">
        <v>524894</v>
      </c>
      <c r="F27" s="4">
        <v>846570</v>
      </c>
    </row>
    <row r="28" spans="1:6" x14ac:dyDescent="0.25">
      <c r="A28" s="3" t="s">
        <v>17</v>
      </c>
      <c r="B28" s="4">
        <v>112553</v>
      </c>
      <c r="C28" s="4">
        <v>179552</v>
      </c>
      <c r="D28" s="4">
        <v>57009</v>
      </c>
      <c r="E28" s="4">
        <v>538207</v>
      </c>
      <c r="F28" s="4">
        <v>887321</v>
      </c>
    </row>
    <row r="29" spans="1:6" x14ac:dyDescent="0.25">
      <c r="A29" s="3" t="s">
        <v>18</v>
      </c>
      <c r="B29" s="4">
        <v>107473</v>
      </c>
      <c r="C29" s="4">
        <v>181665</v>
      </c>
      <c r="D29" s="4">
        <v>55632</v>
      </c>
      <c r="E29" s="4">
        <v>503249</v>
      </c>
      <c r="F29" s="4">
        <v>848019</v>
      </c>
    </row>
    <row r="30" spans="1:6" x14ac:dyDescent="0.25">
      <c r="A30" s="3" t="s">
        <v>19</v>
      </c>
      <c r="B30" s="4">
        <v>119082</v>
      </c>
      <c r="C30" s="4">
        <v>220649</v>
      </c>
      <c r="D30" s="4">
        <v>71468</v>
      </c>
      <c r="E30" s="4">
        <v>578335</v>
      </c>
      <c r="F30" s="4">
        <v>989534</v>
      </c>
    </row>
    <row r="31" spans="1:6" x14ac:dyDescent="0.25">
      <c r="A31" s="2" t="s">
        <v>6</v>
      </c>
      <c r="B31" s="4">
        <v>2724043</v>
      </c>
      <c r="C31" s="4">
        <v>4301024</v>
      </c>
      <c r="D31" s="4">
        <v>1469620</v>
      </c>
      <c r="E31" s="4">
        <v>11997696</v>
      </c>
      <c r="F31" s="4">
        <v>20492383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C3E8-6867-464B-A1BE-612E1ACCDDE5}">
  <dimension ref="A1:E42"/>
  <sheetViews>
    <sheetView workbookViewId="0">
      <selection activeCell="J25" sqref="J25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4" width="15.28515625" bestFit="1" customWidth="1"/>
    <col min="5" max="6" width="17" bestFit="1" customWidth="1"/>
    <col min="7" max="9" width="12" bestFit="1" customWidth="1"/>
    <col min="10" max="10" width="13.5703125" bestFit="1" customWidth="1"/>
    <col min="11" max="14" width="12" bestFit="1" customWidth="1"/>
    <col min="15" max="15" width="7" bestFit="1" customWidth="1"/>
    <col min="16" max="16" width="18.42578125" bestFit="1" customWidth="1"/>
    <col min="17" max="21" width="12" bestFit="1" customWidth="1"/>
    <col min="22" max="22" width="14.42578125" bestFit="1" customWidth="1"/>
    <col min="23" max="23" width="12.5703125" bestFit="1" customWidth="1"/>
  </cols>
  <sheetData>
    <row r="1" spans="1:5" x14ac:dyDescent="0.25">
      <c r="A1" s="1" t="s">
        <v>27</v>
      </c>
      <c r="B1" s="1" t="s">
        <v>1</v>
      </c>
    </row>
    <row r="2" spans="1:5" x14ac:dyDescent="0.25">
      <c r="A2" s="1" t="s">
        <v>2</v>
      </c>
      <c r="B2" t="s">
        <v>28</v>
      </c>
      <c r="C2" t="s">
        <v>3</v>
      </c>
      <c r="D2" t="s">
        <v>4</v>
      </c>
      <c r="E2" t="s">
        <v>6</v>
      </c>
    </row>
    <row r="3" spans="1:5" x14ac:dyDescent="0.25">
      <c r="A3" s="2" t="s">
        <v>7</v>
      </c>
      <c r="B3" s="6">
        <v>208633364000</v>
      </c>
      <c r="C3" s="6">
        <v>49509853000</v>
      </c>
      <c r="D3" s="6">
        <v>94540935073</v>
      </c>
      <c r="E3" s="6">
        <v>352684152073</v>
      </c>
    </row>
    <row r="4" spans="1:5" x14ac:dyDescent="0.25">
      <c r="A4" s="3" t="s">
        <v>11</v>
      </c>
      <c r="B4" s="6">
        <v>14471657050</v>
      </c>
      <c r="C4" s="6">
        <v>3813664900</v>
      </c>
      <c r="D4" s="6">
        <v>7517496200</v>
      </c>
      <c r="E4" s="6">
        <v>25802818150</v>
      </c>
    </row>
    <row r="5" spans="1:5" x14ac:dyDescent="0.25">
      <c r="A5" s="3" t="s">
        <v>15</v>
      </c>
      <c r="B5" s="6">
        <v>20683756550</v>
      </c>
      <c r="C5" s="6">
        <v>4198156300</v>
      </c>
      <c r="D5" s="6">
        <v>8051026400</v>
      </c>
      <c r="E5" s="6">
        <v>32932939250</v>
      </c>
    </row>
    <row r="6" spans="1:5" x14ac:dyDescent="0.25">
      <c r="A6" s="3" t="s">
        <v>19</v>
      </c>
      <c r="B6" s="6">
        <v>21026465150</v>
      </c>
      <c r="C6" s="6">
        <v>4720044900</v>
      </c>
      <c r="D6" s="6">
        <v>8786674850</v>
      </c>
      <c r="E6" s="6">
        <v>34533184900</v>
      </c>
    </row>
    <row r="7" spans="1:5" x14ac:dyDescent="0.25">
      <c r="A7" s="3" t="s">
        <v>8</v>
      </c>
      <c r="B7" s="6">
        <v>16587328750</v>
      </c>
      <c r="C7" s="6">
        <v>4401758500</v>
      </c>
      <c r="D7" s="6">
        <v>8607798100</v>
      </c>
      <c r="E7" s="6">
        <v>29596885350</v>
      </c>
    </row>
    <row r="8" spans="1:5" x14ac:dyDescent="0.25">
      <c r="A8" s="3" t="s">
        <v>9</v>
      </c>
      <c r="B8" s="6">
        <v>14030714200</v>
      </c>
      <c r="C8" s="6">
        <v>3734654200</v>
      </c>
      <c r="D8" s="6">
        <v>7567906700</v>
      </c>
      <c r="E8" s="6">
        <v>25333275100</v>
      </c>
    </row>
    <row r="9" spans="1:5" x14ac:dyDescent="0.25">
      <c r="A9" s="3" t="s">
        <v>14</v>
      </c>
      <c r="B9" s="6">
        <v>18679040650</v>
      </c>
      <c r="C9" s="6">
        <v>4251996100</v>
      </c>
      <c r="D9" s="6">
        <v>7600101850</v>
      </c>
      <c r="E9" s="6">
        <v>30531138600</v>
      </c>
    </row>
    <row r="10" spans="1:5" x14ac:dyDescent="0.25">
      <c r="A10" s="3" t="s">
        <v>13</v>
      </c>
      <c r="B10" s="6">
        <v>15397044800</v>
      </c>
      <c r="C10" s="6">
        <v>3984331000</v>
      </c>
      <c r="D10" s="6">
        <v>7425589600</v>
      </c>
      <c r="E10" s="6">
        <v>26806965400</v>
      </c>
    </row>
    <row r="11" spans="1:5" x14ac:dyDescent="0.25">
      <c r="A11" s="3" t="s">
        <v>10</v>
      </c>
      <c r="B11" s="6">
        <v>15722488850</v>
      </c>
      <c r="C11" s="6">
        <v>4249407100</v>
      </c>
      <c r="D11" s="6">
        <v>8355562373</v>
      </c>
      <c r="E11" s="6">
        <v>28327458323</v>
      </c>
    </row>
    <row r="12" spans="1:5" x14ac:dyDescent="0.25">
      <c r="A12" s="3" t="s">
        <v>12</v>
      </c>
      <c r="B12" s="6">
        <v>15748365950</v>
      </c>
      <c r="C12" s="6">
        <v>4105227100</v>
      </c>
      <c r="D12" s="6">
        <v>7575366300</v>
      </c>
      <c r="E12" s="6">
        <v>27428959350</v>
      </c>
    </row>
    <row r="13" spans="1:5" x14ac:dyDescent="0.25">
      <c r="A13" s="3" t="s">
        <v>18</v>
      </c>
      <c r="B13" s="6">
        <v>18311473700</v>
      </c>
      <c r="C13" s="6">
        <v>3943629700</v>
      </c>
      <c r="D13" s="6">
        <v>7639035800</v>
      </c>
      <c r="E13" s="6">
        <v>29894139200</v>
      </c>
    </row>
    <row r="14" spans="1:5" x14ac:dyDescent="0.25">
      <c r="A14" s="3" t="s">
        <v>17</v>
      </c>
      <c r="B14" s="6">
        <v>19250896300</v>
      </c>
      <c r="C14" s="6">
        <v>4138187800</v>
      </c>
      <c r="D14" s="6">
        <v>7861338000</v>
      </c>
      <c r="E14" s="6">
        <v>31250422100</v>
      </c>
    </row>
    <row r="15" spans="1:5" x14ac:dyDescent="0.25">
      <c r="A15" s="3" t="s">
        <v>16</v>
      </c>
      <c r="B15" s="6">
        <v>18724132050</v>
      </c>
      <c r="C15" s="6">
        <v>3968795400</v>
      </c>
      <c r="D15" s="6">
        <v>7553038900</v>
      </c>
      <c r="E15" s="6">
        <v>30245966350</v>
      </c>
    </row>
    <row r="16" spans="1:5" x14ac:dyDescent="0.25">
      <c r="A16" s="2" t="s">
        <v>20</v>
      </c>
      <c r="B16" s="6">
        <v>252568555800</v>
      </c>
      <c r="C16" s="6">
        <v>54866901300</v>
      </c>
      <c r="D16" s="6">
        <v>118372283000</v>
      </c>
      <c r="E16" s="6">
        <v>425807740100</v>
      </c>
    </row>
    <row r="17" spans="1:5" x14ac:dyDescent="0.25">
      <c r="A17" s="3" t="s">
        <v>11</v>
      </c>
      <c r="B17" s="6">
        <v>20899053250</v>
      </c>
      <c r="C17" s="6">
        <v>4590199600</v>
      </c>
      <c r="D17" s="6">
        <v>10163236050</v>
      </c>
      <c r="E17" s="6">
        <v>35652488900</v>
      </c>
    </row>
    <row r="18" spans="1:5" x14ac:dyDescent="0.25">
      <c r="A18" s="3" t="s">
        <v>15</v>
      </c>
      <c r="B18" s="6">
        <v>21862300250</v>
      </c>
      <c r="C18" s="6">
        <v>4465379000</v>
      </c>
      <c r="D18" s="6">
        <v>10200652400</v>
      </c>
      <c r="E18" s="6">
        <v>36528331650</v>
      </c>
    </row>
    <row r="19" spans="1:5" x14ac:dyDescent="0.25">
      <c r="A19" s="3" t="s">
        <v>19</v>
      </c>
      <c r="B19" s="6">
        <v>24969133550</v>
      </c>
      <c r="C19" s="6">
        <v>5059577100</v>
      </c>
      <c r="D19" s="6">
        <v>11031488250</v>
      </c>
      <c r="E19" s="6">
        <v>41060198900</v>
      </c>
    </row>
    <row r="20" spans="1:5" x14ac:dyDescent="0.25">
      <c r="A20" s="3" t="s">
        <v>8</v>
      </c>
      <c r="B20" s="6">
        <v>17662078250</v>
      </c>
      <c r="C20" s="6">
        <v>4962737200</v>
      </c>
      <c r="D20" s="6">
        <v>9083292050</v>
      </c>
      <c r="E20" s="6">
        <v>31708107500</v>
      </c>
    </row>
    <row r="21" spans="1:5" x14ac:dyDescent="0.25">
      <c r="A21" s="3" t="s">
        <v>9</v>
      </c>
      <c r="B21" s="6">
        <v>19115440300</v>
      </c>
      <c r="C21" s="6">
        <v>4234646600</v>
      </c>
      <c r="D21" s="6">
        <v>7724886700</v>
      </c>
      <c r="E21" s="6">
        <v>31074973600</v>
      </c>
    </row>
    <row r="22" spans="1:5" x14ac:dyDescent="0.25">
      <c r="A22" s="3" t="s">
        <v>14</v>
      </c>
      <c r="B22" s="6">
        <v>22313262250</v>
      </c>
      <c r="C22" s="6">
        <v>4647129100</v>
      </c>
      <c r="D22" s="6">
        <v>10380366850</v>
      </c>
      <c r="E22" s="6">
        <v>37340758200</v>
      </c>
    </row>
    <row r="23" spans="1:5" x14ac:dyDescent="0.25">
      <c r="A23" s="3" t="s">
        <v>13</v>
      </c>
      <c r="B23" s="6">
        <v>21227609600</v>
      </c>
      <c r="C23" s="6">
        <v>4541790300</v>
      </c>
      <c r="D23" s="6">
        <v>10140502900</v>
      </c>
      <c r="E23" s="6">
        <v>35909902800</v>
      </c>
    </row>
    <row r="24" spans="1:5" x14ac:dyDescent="0.25">
      <c r="A24" s="3" t="s">
        <v>10</v>
      </c>
      <c r="B24" s="6">
        <v>20396735400</v>
      </c>
      <c r="C24" s="6">
        <v>4593076500</v>
      </c>
      <c r="D24" s="6">
        <v>10045429200</v>
      </c>
      <c r="E24" s="6">
        <v>35035241100</v>
      </c>
    </row>
    <row r="25" spans="1:5" x14ac:dyDescent="0.25">
      <c r="A25" s="3" t="s">
        <v>12</v>
      </c>
      <c r="B25" s="6">
        <v>20583325400</v>
      </c>
      <c r="C25" s="6">
        <v>4284968600</v>
      </c>
      <c r="D25" s="6">
        <v>9862071200</v>
      </c>
      <c r="E25" s="6">
        <v>34730365200</v>
      </c>
    </row>
    <row r="26" spans="1:5" x14ac:dyDescent="0.25">
      <c r="A26" s="3" t="s">
        <v>18</v>
      </c>
      <c r="B26" s="6">
        <v>21773488150</v>
      </c>
      <c r="C26" s="6">
        <v>4543543800</v>
      </c>
      <c r="D26" s="6">
        <v>9860419700</v>
      </c>
      <c r="E26" s="6">
        <v>36177451650</v>
      </c>
    </row>
    <row r="27" spans="1:5" x14ac:dyDescent="0.25">
      <c r="A27" s="3" t="s">
        <v>17</v>
      </c>
      <c r="B27" s="6">
        <v>21679937350</v>
      </c>
      <c r="C27" s="6">
        <v>4689919200</v>
      </c>
      <c r="D27" s="6">
        <v>10205065300</v>
      </c>
      <c r="E27" s="6">
        <v>36574921850</v>
      </c>
    </row>
    <row r="28" spans="1:5" x14ac:dyDescent="0.25">
      <c r="A28" s="3" t="s">
        <v>16</v>
      </c>
      <c r="B28" s="6">
        <v>20086192050</v>
      </c>
      <c r="C28" s="6">
        <v>4253934300</v>
      </c>
      <c r="D28" s="6">
        <v>9674872400</v>
      </c>
      <c r="E28" s="6">
        <v>34014998750</v>
      </c>
    </row>
    <row r="29" spans="1:5" x14ac:dyDescent="0.25">
      <c r="A29" s="2" t="s">
        <v>21</v>
      </c>
      <c r="B29" s="6">
        <v>270471716400</v>
      </c>
      <c r="C29" s="6">
        <v>59851957500</v>
      </c>
      <c r="D29" s="6">
        <v>126780511900</v>
      </c>
      <c r="E29" s="6">
        <v>457104185800</v>
      </c>
    </row>
    <row r="30" spans="1:5" x14ac:dyDescent="0.25">
      <c r="A30" s="3" t="s">
        <v>11</v>
      </c>
      <c r="B30" s="6">
        <v>21886725700</v>
      </c>
      <c r="C30" s="6">
        <v>4754689900</v>
      </c>
      <c r="D30" s="6">
        <v>10476968450</v>
      </c>
      <c r="E30" s="6">
        <v>37118384050</v>
      </c>
    </row>
    <row r="31" spans="1:5" x14ac:dyDescent="0.25">
      <c r="A31" s="3" t="s">
        <v>15</v>
      </c>
      <c r="B31" s="6">
        <v>24294049600</v>
      </c>
      <c r="C31" s="6">
        <v>5159107200</v>
      </c>
      <c r="D31" s="6">
        <v>10711435400</v>
      </c>
      <c r="E31" s="6">
        <v>40164592200</v>
      </c>
    </row>
    <row r="32" spans="1:5" x14ac:dyDescent="0.25">
      <c r="A32" s="3" t="s">
        <v>19</v>
      </c>
      <c r="B32" s="6">
        <v>23640140500</v>
      </c>
      <c r="C32" s="6">
        <v>5679824600</v>
      </c>
      <c r="D32" s="6">
        <v>11760488800</v>
      </c>
      <c r="E32" s="6">
        <v>41080453900</v>
      </c>
    </row>
    <row r="33" spans="1:5" x14ac:dyDescent="0.25">
      <c r="A33" s="3" t="s">
        <v>8</v>
      </c>
      <c r="B33" s="6">
        <v>24691150050</v>
      </c>
      <c r="C33" s="6">
        <v>5054939400</v>
      </c>
      <c r="D33" s="6">
        <v>11270616900</v>
      </c>
      <c r="E33" s="6">
        <v>41016706350</v>
      </c>
    </row>
    <row r="34" spans="1:5" x14ac:dyDescent="0.25">
      <c r="A34" s="3" t="s">
        <v>9</v>
      </c>
      <c r="B34" s="6">
        <v>20379970750</v>
      </c>
      <c r="C34" s="6">
        <v>4329246600</v>
      </c>
      <c r="D34" s="6">
        <v>9638562200</v>
      </c>
      <c r="E34" s="6">
        <v>34347779550</v>
      </c>
    </row>
    <row r="35" spans="1:5" x14ac:dyDescent="0.25">
      <c r="A35" s="3" t="s">
        <v>14</v>
      </c>
      <c r="B35" s="6">
        <v>24355941300</v>
      </c>
      <c r="C35" s="6">
        <v>5242567700</v>
      </c>
      <c r="D35" s="6">
        <v>10682478400</v>
      </c>
      <c r="E35" s="6">
        <v>40280987400</v>
      </c>
    </row>
    <row r="36" spans="1:5" x14ac:dyDescent="0.25">
      <c r="A36" s="3" t="s">
        <v>13</v>
      </c>
      <c r="B36" s="6">
        <v>24434997550</v>
      </c>
      <c r="C36" s="6">
        <v>4751528800</v>
      </c>
      <c r="D36" s="6">
        <v>9907098250</v>
      </c>
      <c r="E36" s="6">
        <v>39093624600</v>
      </c>
    </row>
    <row r="37" spans="1:5" x14ac:dyDescent="0.25">
      <c r="A37" s="3" t="s">
        <v>10</v>
      </c>
      <c r="B37" s="6">
        <v>23445286300</v>
      </c>
      <c r="C37" s="6">
        <v>5074468500</v>
      </c>
      <c r="D37" s="6">
        <v>10991704300</v>
      </c>
      <c r="E37" s="6">
        <v>39511459100</v>
      </c>
    </row>
    <row r="38" spans="1:5" x14ac:dyDescent="0.25">
      <c r="A38" s="3" t="s">
        <v>12</v>
      </c>
      <c r="B38" s="6">
        <v>21991629450</v>
      </c>
      <c r="C38" s="6">
        <v>4705693100</v>
      </c>
      <c r="D38" s="6">
        <v>10016225800</v>
      </c>
      <c r="E38" s="6">
        <v>36713548350</v>
      </c>
    </row>
    <row r="39" spans="1:5" x14ac:dyDescent="0.25">
      <c r="A39" s="3" t="s">
        <v>18</v>
      </c>
      <c r="B39" s="6">
        <v>20550976150</v>
      </c>
      <c r="C39" s="6">
        <v>5162123600</v>
      </c>
      <c r="D39" s="6">
        <v>10396864200</v>
      </c>
      <c r="E39" s="6">
        <v>36109963950</v>
      </c>
    </row>
    <row r="40" spans="1:5" x14ac:dyDescent="0.25">
      <c r="A40" s="3" t="s">
        <v>17</v>
      </c>
      <c r="B40" s="6">
        <v>20721663700</v>
      </c>
      <c r="C40" s="6">
        <v>5142616700</v>
      </c>
      <c r="D40" s="6">
        <v>10787720300</v>
      </c>
      <c r="E40" s="6">
        <v>36652000700</v>
      </c>
    </row>
    <row r="41" spans="1:5" x14ac:dyDescent="0.25">
      <c r="A41" s="3" t="s">
        <v>16</v>
      </c>
      <c r="B41" s="6">
        <v>20079185350</v>
      </c>
      <c r="C41" s="6">
        <v>4795151400</v>
      </c>
      <c r="D41" s="6">
        <v>10140348900</v>
      </c>
      <c r="E41" s="6">
        <v>35014685650</v>
      </c>
    </row>
    <row r="42" spans="1:5" x14ac:dyDescent="0.25">
      <c r="A42" s="2" t="s">
        <v>6</v>
      </c>
      <c r="B42" s="6">
        <v>731673636200</v>
      </c>
      <c r="C42" s="6">
        <v>164228711800</v>
      </c>
      <c r="D42" s="6">
        <v>339693729973</v>
      </c>
      <c r="E42" s="6">
        <v>1235596077973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BA79-6C5C-4137-B28B-C39D247B7408}">
  <dimension ref="A1:F42"/>
  <sheetViews>
    <sheetView tabSelected="1" topLeftCell="B1" workbookViewId="0">
      <selection activeCell="H22" sqref="H22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8.42578125" bestFit="1" customWidth="1"/>
    <col min="4" max="5" width="14.28515625" bestFit="1" customWidth="1"/>
    <col min="6" max="7" width="15.28515625" bestFit="1" customWidth="1"/>
    <col min="8" max="11" width="14.28515625" bestFit="1" customWidth="1"/>
    <col min="12" max="12" width="13.28515625" bestFit="1" customWidth="1"/>
    <col min="13" max="13" width="6.28515625" bestFit="1" customWidth="1"/>
    <col min="14" max="16" width="14.28515625" bestFit="1" customWidth="1"/>
    <col min="17" max="18" width="15.28515625" bestFit="1" customWidth="1"/>
    <col min="19" max="19" width="14.28515625" bestFit="1" customWidth="1"/>
    <col min="20" max="20" width="15.28515625" bestFit="1" customWidth="1"/>
    <col min="21" max="22" width="14.28515625" bestFit="1" customWidth="1"/>
    <col min="23" max="23" width="15.28515625" bestFit="1" customWidth="1"/>
    <col min="24" max="24" width="5.85546875" bestFit="1" customWidth="1"/>
    <col min="25" max="28" width="14.28515625" bestFit="1" customWidth="1"/>
    <col min="29" max="29" width="13.28515625" bestFit="1" customWidth="1"/>
    <col min="30" max="32" width="15.28515625" bestFit="1" customWidth="1"/>
    <col min="33" max="33" width="11.7109375" bestFit="1" customWidth="1"/>
    <col min="34" max="34" width="14.28515625" bestFit="1" customWidth="1"/>
    <col min="35" max="36" width="15.28515625" bestFit="1" customWidth="1"/>
    <col min="37" max="37" width="10.85546875" bestFit="1" customWidth="1"/>
    <col min="38" max="47" width="14.28515625" bestFit="1" customWidth="1"/>
    <col min="48" max="48" width="13.28515625" bestFit="1" customWidth="1"/>
    <col min="49" max="53" width="14.28515625" bestFit="1" customWidth="1"/>
    <col min="54" max="54" width="14.7109375" bestFit="1" customWidth="1"/>
    <col min="55" max="55" width="15.28515625" bestFit="1" customWidth="1"/>
    <col min="56" max="60" width="14.28515625" bestFit="1" customWidth="1"/>
    <col min="61" max="61" width="15.28515625" bestFit="1" customWidth="1"/>
    <col min="62" max="62" width="14.7109375" bestFit="1" customWidth="1"/>
    <col min="63" max="63" width="17.42578125" bestFit="1" customWidth="1"/>
    <col min="64" max="64" width="15.28515625" bestFit="1" customWidth="1"/>
    <col min="65" max="66" width="14.28515625" bestFit="1" customWidth="1"/>
    <col min="67" max="67" width="15" bestFit="1" customWidth="1"/>
    <col min="68" max="68" width="18.42578125" bestFit="1" customWidth="1"/>
    <col min="69" max="69" width="15.42578125" bestFit="1" customWidth="1"/>
    <col min="70" max="70" width="15.28515625" bestFit="1" customWidth="1"/>
    <col min="71" max="71" width="15.42578125" bestFit="1" customWidth="1"/>
    <col min="72" max="72" width="13.28515625" bestFit="1" customWidth="1"/>
    <col min="73" max="73" width="14.28515625" bestFit="1" customWidth="1"/>
    <col min="74" max="74" width="16.140625" bestFit="1" customWidth="1"/>
    <col min="75" max="75" width="14.28515625" bestFit="1" customWidth="1"/>
    <col min="76" max="76" width="12" bestFit="1" customWidth="1"/>
    <col min="77" max="77" width="14.7109375" bestFit="1" customWidth="1"/>
    <col min="78" max="80" width="14.28515625" bestFit="1" customWidth="1"/>
    <col min="81" max="81" width="15.28515625" bestFit="1" customWidth="1"/>
    <col min="82" max="83" width="14.28515625" bestFit="1" customWidth="1"/>
    <col min="84" max="84" width="15.28515625" bestFit="1" customWidth="1"/>
    <col min="85" max="87" width="14.28515625" bestFit="1" customWidth="1"/>
    <col min="88" max="88" width="15.28515625" bestFit="1" customWidth="1"/>
    <col min="89" max="89" width="14.28515625" bestFit="1" customWidth="1"/>
    <col min="90" max="90" width="15.28515625" bestFit="1" customWidth="1"/>
    <col min="91" max="91" width="14.28515625" bestFit="1" customWidth="1"/>
    <col min="92" max="92" width="17" bestFit="1" customWidth="1"/>
  </cols>
  <sheetData>
    <row r="1" spans="1:6" x14ac:dyDescent="0.25">
      <c r="A1" s="1" t="s">
        <v>27</v>
      </c>
      <c r="B1" s="1" t="s">
        <v>1</v>
      </c>
    </row>
    <row r="2" spans="1:6" x14ac:dyDescent="0.25">
      <c r="A2" s="1" t="s">
        <v>2</v>
      </c>
      <c r="B2" t="s">
        <v>23</v>
      </c>
      <c r="C2" t="s">
        <v>24</v>
      </c>
      <c r="D2" t="s">
        <v>25</v>
      </c>
      <c r="E2" t="s">
        <v>26</v>
      </c>
      <c r="F2" t="s">
        <v>6</v>
      </c>
    </row>
    <row r="3" spans="1:6" x14ac:dyDescent="0.25">
      <c r="A3" s="2" t="s">
        <v>7</v>
      </c>
      <c r="B3" s="6">
        <v>16506837600</v>
      </c>
      <c r="C3" s="6">
        <v>22332456800</v>
      </c>
      <c r="D3" s="6">
        <v>9430292900</v>
      </c>
      <c r="E3" s="6">
        <v>16217573300</v>
      </c>
      <c r="F3" s="6">
        <v>64487160600</v>
      </c>
    </row>
    <row r="4" spans="1:6" x14ac:dyDescent="0.25">
      <c r="A4" s="3" t="s">
        <v>11</v>
      </c>
      <c r="B4" s="6">
        <v>1371641100</v>
      </c>
      <c r="C4" s="6">
        <v>1592873600</v>
      </c>
      <c r="D4" s="6">
        <v>608805500</v>
      </c>
      <c r="E4" s="6">
        <v>1316242400</v>
      </c>
      <c r="F4" s="6">
        <v>4889562600</v>
      </c>
    </row>
    <row r="5" spans="1:6" x14ac:dyDescent="0.25">
      <c r="A5" s="3" t="s">
        <v>15</v>
      </c>
      <c r="B5" s="6">
        <v>1415666800</v>
      </c>
      <c r="C5" s="6">
        <v>1857524100</v>
      </c>
      <c r="D5" s="6">
        <v>1019690600</v>
      </c>
      <c r="E5" s="6">
        <v>1378867100</v>
      </c>
      <c r="F5" s="6">
        <v>5671748600</v>
      </c>
    </row>
    <row r="6" spans="1:6" x14ac:dyDescent="0.25">
      <c r="A6" s="3" t="s">
        <v>19</v>
      </c>
      <c r="B6" s="6">
        <v>1520075300</v>
      </c>
      <c r="C6" s="6">
        <v>2211522700</v>
      </c>
      <c r="D6" s="6">
        <v>1033337300</v>
      </c>
      <c r="E6" s="6">
        <v>1477674500</v>
      </c>
      <c r="F6" s="6">
        <v>6242609800</v>
      </c>
    </row>
    <row r="7" spans="1:6" x14ac:dyDescent="0.25">
      <c r="A7" s="3" t="s">
        <v>8</v>
      </c>
      <c r="B7" s="6">
        <v>1343467100</v>
      </c>
      <c r="C7" s="6">
        <v>2146704600</v>
      </c>
      <c r="D7" s="6">
        <v>774410000</v>
      </c>
      <c r="E7" s="6">
        <v>1362975000</v>
      </c>
      <c r="F7" s="6">
        <v>5627556700</v>
      </c>
    </row>
    <row r="8" spans="1:6" x14ac:dyDescent="0.25">
      <c r="A8" s="3" t="s">
        <v>9</v>
      </c>
      <c r="B8" s="6">
        <v>1305052500</v>
      </c>
      <c r="C8" s="6">
        <v>1666969800</v>
      </c>
      <c r="D8" s="6">
        <v>628462200</v>
      </c>
      <c r="E8" s="6">
        <v>1298356600</v>
      </c>
      <c r="F8" s="6">
        <v>4898841100</v>
      </c>
    </row>
    <row r="9" spans="1:6" x14ac:dyDescent="0.25">
      <c r="A9" s="3" t="s">
        <v>14</v>
      </c>
      <c r="B9" s="6">
        <v>1315090700</v>
      </c>
      <c r="C9" s="6">
        <v>2073798500</v>
      </c>
      <c r="D9" s="6">
        <v>635451600</v>
      </c>
      <c r="E9" s="6">
        <v>1374817400</v>
      </c>
      <c r="F9" s="6">
        <v>5399158200</v>
      </c>
    </row>
    <row r="10" spans="1:6" x14ac:dyDescent="0.25">
      <c r="A10" s="3" t="s">
        <v>13</v>
      </c>
      <c r="B10" s="6">
        <v>1333453700</v>
      </c>
      <c r="C10" s="6">
        <v>1770839800</v>
      </c>
      <c r="D10" s="6">
        <v>614601000</v>
      </c>
      <c r="E10" s="6">
        <v>1306161800</v>
      </c>
      <c r="F10" s="6">
        <v>5025056300</v>
      </c>
    </row>
    <row r="11" spans="1:6" x14ac:dyDescent="0.25">
      <c r="A11" s="3" t="s">
        <v>10</v>
      </c>
      <c r="B11" s="6">
        <v>1438935400</v>
      </c>
      <c r="C11" s="6">
        <v>1987465300</v>
      </c>
      <c r="D11" s="6">
        <v>733209500</v>
      </c>
      <c r="E11" s="6">
        <v>1382575400</v>
      </c>
      <c r="F11" s="6">
        <v>5542185600</v>
      </c>
    </row>
    <row r="12" spans="1:6" x14ac:dyDescent="0.25">
      <c r="A12" s="3" t="s">
        <v>12</v>
      </c>
      <c r="B12" s="6">
        <v>1301597700</v>
      </c>
      <c r="C12" s="6">
        <v>1837900900</v>
      </c>
      <c r="D12" s="6">
        <v>656454000</v>
      </c>
      <c r="E12" s="6">
        <v>1350494200</v>
      </c>
      <c r="F12" s="6">
        <v>5146446800</v>
      </c>
    </row>
    <row r="13" spans="1:6" x14ac:dyDescent="0.25">
      <c r="A13" s="3" t="s">
        <v>18</v>
      </c>
      <c r="B13" s="6">
        <v>1376007000</v>
      </c>
      <c r="C13" s="6">
        <v>1690581800</v>
      </c>
      <c r="D13" s="6">
        <v>888135200</v>
      </c>
      <c r="E13" s="6">
        <v>1277740200</v>
      </c>
      <c r="F13" s="6">
        <v>5232464200</v>
      </c>
    </row>
    <row r="14" spans="1:6" x14ac:dyDescent="0.25">
      <c r="A14" s="3" t="s">
        <v>17</v>
      </c>
      <c r="B14" s="6">
        <v>1395447200</v>
      </c>
      <c r="C14" s="6">
        <v>1808628200</v>
      </c>
      <c r="D14" s="6">
        <v>907357200</v>
      </c>
      <c r="E14" s="6">
        <v>1338769400</v>
      </c>
      <c r="F14" s="6">
        <v>5450202000</v>
      </c>
    </row>
    <row r="15" spans="1:6" x14ac:dyDescent="0.25">
      <c r="A15" s="3" t="s">
        <v>16</v>
      </c>
      <c r="B15" s="6">
        <v>1390403100</v>
      </c>
      <c r="C15" s="6">
        <v>1687647500</v>
      </c>
      <c r="D15" s="6">
        <v>930378800</v>
      </c>
      <c r="E15" s="6">
        <v>1352899300</v>
      </c>
      <c r="F15" s="6">
        <v>5361328700</v>
      </c>
    </row>
    <row r="16" spans="1:6" x14ac:dyDescent="0.25">
      <c r="A16" s="2" t="s">
        <v>20</v>
      </c>
      <c r="B16" s="6">
        <v>17486006300</v>
      </c>
      <c r="C16" s="6">
        <v>25743789800</v>
      </c>
      <c r="D16" s="6">
        <v>12057458200</v>
      </c>
      <c r="E16" s="6">
        <v>19110085150</v>
      </c>
      <c r="F16" s="6">
        <v>74397339450</v>
      </c>
    </row>
    <row r="17" spans="1:6" x14ac:dyDescent="0.25">
      <c r="A17" s="3" t="s">
        <v>11</v>
      </c>
      <c r="B17" s="6">
        <v>1435524900</v>
      </c>
      <c r="C17" s="6">
        <v>2197674600</v>
      </c>
      <c r="D17" s="6">
        <v>1114992000</v>
      </c>
      <c r="E17" s="6">
        <v>1563383700</v>
      </c>
      <c r="F17" s="6">
        <v>6311575200</v>
      </c>
    </row>
    <row r="18" spans="1:6" x14ac:dyDescent="0.25">
      <c r="A18" s="3" t="s">
        <v>15</v>
      </c>
      <c r="B18" s="6">
        <v>1553339500</v>
      </c>
      <c r="C18" s="6">
        <v>2070234600</v>
      </c>
      <c r="D18" s="6">
        <v>976759400</v>
      </c>
      <c r="E18" s="6">
        <v>1674301000</v>
      </c>
      <c r="F18" s="6">
        <v>6274634500</v>
      </c>
    </row>
    <row r="19" spans="1:6" x14ac:dyDescent="0.25">
      <c r="A19" s="3" t="s">
        <v>19</v>
      </c>
      <c r="B19" s="6">
        <v>1449530550</v>
      </c>
      <c r="C19" s="6">
        <v>2417176500</v>
      </c>
      <c r="D19" s="6">
        <v>1123330900</v>
      </c>
      <c r="E19" s="6">
        <v>1760804100</v>
      </c>
      <c r="F19" s="6">
        <v>6750842050</v>
      </c>
    </row>
    <row r="20" spans="1:6" x14ac:dyDescent="0.25">
      <c r="A20" s="3" t="s">
        <v>8</v>
      </c>
      <c r="B20" s="6">
        <v>1455825650</v>
      </c>
      <c r="C20" s="6">
        <v>2516824800</v>
      </c>
      <c r="D20" s="6">
        <v>1122703000</v>
      </c>
      <c r="E20" s="6">
        <v>1505414800</v>
      </c>
      <c r="F20" s="6">
        <v>6600768250</v>
      </c>
    </row>
    <row r="21" spans="1:6" x14ac:dyDescent="0.25">
      <c r="A21" s="3" t="s">
        <v>9</v>
      </c>
      <c r="B21" s="6">
        <v>1424140100</v>
      </c>
      <c r="C21" s="6">
        <v>1973095500</v>
      </c>
      <c r="D21" s="6">
        <v>866742000</v>
      </c>
      <c r="E21" s="6">
        <v>1373995500</v>
      </c>
      <c r="F21" s="6">
        <v>5637973100</v>
      </c>
    </row>
    <row r="22" spans="1:6" x14ac:dyDescent="0.25">
      <c r="A22" s="3" t="s">
        <v>14</v>
      </c>
      <c r="B22" s="6">
        <v>1467725400</v>
      </c>
      <c r="C22" s="6">
        <v>2257298600</v>
      </c>
      <c r="D22" s="6">
        <v>1011385400</v>
      </c>
      <c r="E22" s="6">
        <v>1666454450</v>
      </c>
      <c r="F22" s="6">
        <v>6402863850</v>
      </c>
    </row>
    <row r="23" spans="1:6" x14ac:dyDescent="0.25">
      <c r="A23" s="3" t="s">
        <v>13</v>
      </c>
      <c r="B23" s="6">
        <v>1461319200</v>
      </c>
      <c r="C23" s="6">
        <v>2148617400</v>
      </c>
      <c r="D23" s="6">
        <v>1040132700</v>
      </c>
      <c r="E23" s="6">
        <v>1580366800</v>
      </c>
      <c r="F23" s="6">
        <v>6230436100</v>
      </c>
    </row>
    <row r="24" spans="1:6" x14ac:dyDescent="0.25">
      <c r="A24" s="3" t="s">
        <v>10</v>
      </c>
      <c r="B24" s="6">
        <v>1526996900</v>
      </c>
      <c r="C24" s="6">
        <v>2099465700</v>
      </c>
      <c r="D24" s="6">
        <v>973912200</v>
      </c>
      <c r="E24" s="6">
        <v>1614141800</v>
      </c>
      <c r="F24" s="6">
        <v>6214516600</v>
      </c>
    </row>
    <row r="25" spans="1:6" x14ac:dyDescent="0.25">
      <c r="A25" s="3" t="s">
        <v>12</v>
      </c>
      <c r="B25" s="6">
        <v>1460024100</v>
      </c>
      <c r="C25" s="6">
        <v>1867987000</v>
      </c>
      <c r="D25" s="6">
        <v>969873400</v>
      </c>
      <c r="E25" s="6">
        <v>1609729100</v>
      </c>
      <c r="F25" s="6">
        <v>5907613600</v>
      </c>
    </row>
    <row r="26" spans="1:6" x14ac:dyDescent="0.25">
      <c r="A26" s="3" t="s">
        <v>18</v>
      </c>
      <c r="B26" s="6">
        <v>1388133400</v>
      </c>
      <c r="C26" s="6">
        <v>2060998000</v>
      </c>
      <c r="D26" s="6">
        <v>950461400</v>
      </c>
      <c r="E26" s="6">
        <v>1536770400</v>
      </c>
      <c r="F26" s="6">
        <v>5936363200</v>
      </c>
    </row>
    <row r="27" spans="1:6" x14ac:dyDescent="0.25">
      <c r="A27" s="3" t="s">
        <v>17</v>
      </c>
      <c r="B27" s="6">
        <v>1440317800</v>
      </c>
      <c r="C27" s="6">
        <v>2214439800</v>
      </c>
      <c r="D27" s="6">
        <v>953694100</v>
      </c>
      <c r="E27" s="6">
        <v>1651504900</v>
      </c>
      <c r="F27" s="6">
        <v>6259956600</v>
      </c>
    </row>
    <row r="28" spans="1:6" x14ac:dyDescent="0.25">
      <c r="A28" s="3" t="s">
        <v>16</v>
      </c>
      <c r="B28" s="6">
        <v>1423128800</v>
      </c>
      <c r="C28" s="6">
        <v>1919977300</v>
      </c>
      <c r="D28" s="6">
        <v>953471700</v>
      </c>
      <c r="E28" s="6">
        <v>1573218600</v>
      </c>
      <c r="F28" s="6">
        <v>5869796400</v>
      </c>
    </row>
    <row r="29" spans="1:6" x14ac:dyDescent="0.25">
      <c r="A29" s="2" t="s">
        <v>21</v>
      </c>
      <c r="B29" s="6">
        <v>17349346000</v>
      </c>
      <c r="C29" s="6">
        <v>27747851100</v>
      </c>
      <c r="D29" s="6">
        <v>12956059000</v>
      </c>
      <c r="E29" s="6">
        <v>21426190800</v>
      </c>
      <c r="F29" s="6">
        <v>79479446900</v>
      </c>
    </row>
    <row r="30" spans="1:6" x14ac:dyDescent="0.25">
      <c r="A30" s="3" t="s">
        <v>11</v>
      </c>
      <c r="B30" s="6">
        <v>1506797400</v>
      </c>
      <c r="C30" s="6">
        <v>2042297700</v>
      </c>
      <c r="D30" s="6">
        <v>1105495800</v>
      </c>
      <c r="E30" s="6">
        <v>1775466750</v>
      </c>
      <c r="F30" s="6">
        <v>6430057650</v>
      </c>
    </row>
    <row r="31" spans="1:6" x14ac:dyDescent="0.25">
      <c r="A31" s="3" t="s">
        <v>15</v>
      </c>
      <c r="B31" s="6">
        <v>1440085400</v>
      </c>
      <c r="C31" s="6">
        <v>2400760900</v>
      </c>
      <c r="D31" s="6">
        <v>1069565000</v>
      </c>
      <c r="E31" s="6">
        <v>1849901100</v>
      </c>
      <c r="F31" s="6">
        <v>6760312400</v>
      </c>
    </row>
    <row r="32" spans="1:6" x14ac:dyDescent="0.25">
      <c r="A32" s="3" t="s">
        <v>19</v>
      </c>
      <c r="B32" s="6">
        <v>1545802200</v>
      </c>
      <c r="C32" s="6">
        <v>2763932200</v>
      </c>
      <c r="D32" s="6">
        <v>1234068700</v>
      </c>
      <c r="E32" s="6">
        <v>1957579900</v>
      </c>
      <c r="F32" s="6">
        <v>7501383000</v>
      </c>
    </row>
    <row r="33" spans="1:6" x14ac:dyDescent="0.25">
      <c r="A33" s="3" t="s">
        <v>8</v>
      </c>
      <c r="B33" s="6">
        <v>1417575100</v>
      </c>
      <c r="C33" s="6">
        <v>2473418300</v>
      </c>
      <c r="D33" s="6">
        <v>1236633100</v>
      </c>
      <c r="E33" s="6">
        <v>1698419200</v>
      </c>
      <c r="F33" s="6">
        <v>6826045700</v>
      </c>
    </row>
    <row r="34" spans="1:6" x14ac:dyDescent="0.25">
      <c r="A34" s="3" t="s">
        <v>9</v>
      </c>
      <c r="B34" s="6">
        <v>1369770800</v>
      </c>
      <c r="C34" s="6">
        <v>1970802800</v>
      </c>
      <c r="D34" s="6">
        <v>960229400</v>
      </c>
      <c r="E34" s="6">
        <v>1621135700</v>
      </c>
      <c r="F34" s="6">
        <v>5921938700</v>
      </c>
    </row>
    <row r="35" spans="1:6" x14ac:dyDescent="0.25">
      <c r="A35" s="3" t="s">
        <v>14</v>
      </c>
      <c r="B35" s="6">
        <v>1440023300</v>
      </c>
      <c r="C35" s="6">
        <v>2551952400</v>
      </c>
      <c r="D35" s="6">
        <v>1108288800</v>
      </c>
      <c r="E35" s="6">
        <v>1828610600</v>
      </c>
      <c r="F35" s="6">
        <v>6928875100</v>
      </c>
    </row>
    <row r="36" spans="1:6" x14ac:dyDescent="0.25">
      <c r="A36" s="3" t="s">
        <v>13</v>
      </c>
      <c r="B36" s="6">
        <v>1398270100</v>
      </c>
      <c r="C36" s="6">
        <v>2276672400</v>
      </c>
      <c r="D36" s="6">
        <v>1035941000</v>
      </c>
      <c r="E36" s="6">
        <v>1723735650</v>
      </c>
      <c r="F36" s="6">
        <v>6434619150</v>
      </c>
    </row>
    <row r="37" spans="1:6" x14ac:dyDescent="0.25">
      <c r="A37" s="3" t="s">
        <v>10</v>
      </c>
      <c r="B37" s="6">
        <v>1488487700</v>
      </c>
      <c r="C37" s="6">
        <v>2403180400</v>
      </c>
      <c r="D37" s="6">
        <v>1122183400</v>
      </c>
      <c r="E37" s="6">
        <v>1828402700</v>
      </c>
      <c r="F37" s="6">
        <v>6842254200</v>
      </c>
    </row>
    <row r="38" spans="1:6" x14ac:dyDescent="0.25">
      <c r="A38" s="3" t="s">
        <v>12</v>
      </c>
      <c r="B38" s="6">
        <v>1461157200</v>
      </c>
      <c r="C38" s="6">
        <v>1967619000</v>
      </c>
      <c r="D38" s="6">
        <v>1037629000</v>
      </c>
      <c r="E38" s="6">
        <v>1786483600</v>
      </c>
      <c r="F38" s="6">
        <v>6252888800</v>
      </c>
    </row>
    <row r="39" spans="1:6" x14ac:dyDescent="0.25">
      <c r="A39" s="3" t="s">
        <v>18</v>
      </c>
      <c r="B39" s="6">
        <v>1416189100</v>
      </c>
      <c r="C39" s="6">
        <v>2401582000</v>
      </c>
      <c r="D39" s="6">
        <v>1012341200</v>
      </c>
      <c r="E39" s="6">
        <v>1723673900</v>
      </c>
      <c r="F39" s="6">
        <v>6553786200</v>
      </c>
    </row>
    <row r="40" spans="1:6" x14ac:dyDescent="0.25">
      <c r="A40" s="3" t="s">
        <v>17</v>
      </c>
      <c r="B40" s="6">
        <v>1484881100</v>
      </c>
      <c r="C40" s="6">
        <v>2343183900</v>
      </c>
      <c r="D40" s="6">
        <v>1042339900</v>
      </c>
      <c r="E40" s="6">
        <v>1840293000</v>
      </c>
      <c r="F40" s="6">
        <v>6710697900</v>
      </c>
    </row>
    <row r="41" spans="1:6" x14ac:dyDescent="0.25">
      <c r="A41" s="3" t="s">
        <v>16</v>
      </c>
      <c r="B41" s="6">
        <v>1380306600</v>
      </c>
      <c r="C41" s="6">
        <v>2152449100</v>
      </c>
      <c r="D41" s="6">
        <v>991343700</v>
      </c>
      <c r="E41" s="6">
        <v>1792488700</v>
      </c>
      <c r="F41" s="6">
        <v>6316588100</v>
      </c>
    </row>
    <row r="42" spans="1:6" x14ac:dyDescent="0.25">
      <c r="A42" s="2" t="s">
        <v>6</v>
      </c>
      <c r="B42" s="6">
        <v>51342189900</v>
      </c>
      <c r="C42" s="6">
        <v>75824097700</v>
      </c>
      <c r="D42" s="6">
        <v>34443810100</v>
      </c>
      <c r="E42" s="6">
        <v>56753849250</v>
      </c>
      <c r="F42" s="6">
        <v>218363946950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Evolución tráfico x Depto</vt:lpstr>
      <vt:lpstr>Evolución tráfico x peaje</vt:lpstr>
      <vt:lpstr>Evolución recaudo x Depto</vt:lpstr>
      <vt:lpstr>Evolución de recaudo x peaje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Andres Gomez Polo</dc:creator>
  <cp:keywords/>
  <dc:description/>
  <cp:lastModifiedBy>Diego Andres Gomez Polo</cp:lastModifiedBy>
  <cp:revision/>
  <dcterms:created xsi:type="dcterms:W3CDTF">2020-11-01T18:13:21Z</dcterms:created>
  <dcterms:modified xsi:type="dcterms:W3CDTF">2020-11-01T22:43:48Z</dcterms:modified>
  <cp:category/>
  <cp:contentStatus/>
</cp:coreProperties>
</file>