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rive\Infrastructura visible - Copy\"/>
    </mc:Choice>
  </mc:AlternateContent>
  <xr:revisionPtr revIDLastSave="0" documentId="13_ncr:1_{7F26FDB4-AC68-401B-BCBC-9781623009D4}" xr6:coauthVersionLast="45" xr6:coauthVersionMax="45" xr10:uidLastSave="{00000000-0000-0000-0000-000000000000}"/>
  <bookViews>
    <workbookView xWindow="-120" yWindow="-120" windowWidth="20730" windowHeight="11160" firstSheet="1" activeTab="3" xr2:uid="{B3D3E15F-7526-4890-8A35-B57DF9AC7CEC}"/>
  </bookViews>
  <sheets>
    <sheet name="Tabla Trafico 2014-2018" sheetId="4" r:id="rId1"/>
    <sheet name="Tabla Recaudo 2014-2018" sheetId="1" r:id="rId2"/>
    <sheet name="Tabla Recaudo 2014-2018 final" sheetId="12" r:id="rId3"/>
    <sheet name="Tabla Trafico 2014-2018 final" sheetId="11" r:id="rId4"/>
  </sheets>
  <externalReferences>
    <externalReference r:id="rId5"/>
    <externalReference r:id="rId6"/>
  </externalReferences>
  <definedNames>
    <definedName name="_xlnm._FilterDatabase" localSheetId="1" hidden="1">'Tabla Recaudo 2014-2018'!$A$1:$BL$150</definedName>
    <definedName name="_xlnm._FilterDatabase" localSheetId="2" hidden="1">'Tabla Recaudo 2014-2018 final'!$A$1:$BM$160</definedName>
    <definedName name="_xlnm._FilterDatabase" localSheetId="0" hidden="1">'Tabla Trafico 2014-2018'!$A$1:$BL$150</definedName>
    <definedName name="_xlnm._FilterDatabase" localSheetId="3" hidden="1">'Tabla Trafico 2014-2018 final'!$A$1:$BM$160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2" i="12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2" i="11"/>
  <c r="G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F157" i="12"/>
  <c r="G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F153" i="12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F126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F120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F103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F80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F72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F63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F60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G54" i="12"/>
  <c r="H54" i="12"/>
  <c r="I54" i="12"/>
  <c r="J54" i="12"/>
  <c r="K54" i="12"/>
  <c r="L54" i="12"/>
  <c r="F5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F34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F31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F24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J125" i="11"/>
  <c r="AK125" i="11"/>
  <c r="AL125" i="11"/>
  <c r="AM125" i="11"/>
  <c r="AN125" i="11"/>
  <c r="AO125" i="11"/>
  <c r="AP125" i="11"/>
  <c r="AQ125" i="11"/>
  <c r="AR125" i="11"/>
  <c r="AS125" i="11"/>
  <c r="AT125" i="11"/>
  <c r="AU125" i="11"/>
  <c r="AV125" i="11"/>
  <c r="AW125" i="11"/>
  <c r="AX125" i="11"/>
  <c r="AY125" i="11"/>
  <c r="AZ125" i="11"/>
  <c r="BA125" i="11"/>
  <c r="BB125" i="11"/>
  <c r="BC125" i="11"/>
  <c r="BD125" i="11"/>
  <c r="BE125" i="11"/>
  <c r="BF125" i="11"/>
  <c r="BG125" i="11"/>
  <c r="BH125" i="11"/>
  <c r="BI125" i="11"/>
  <c r="BJ125" i="11"/>
  <c r="BK125" i="11"/>
  <c r="BL125" i="11"/>
  <c r="BM125" i="11"/>
  <c r="F125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J117" i="11"/>
  <c r="AK117" i="11"/>
  <c r="AL117" i="11"/>
  <c r="AM117" i="11"/>
  <c r="AN117" i="11"/>
  <c r="AO117" i="11"/>
  <c r="AP117" i="11"/>
  <c r="AQ117" i="11"/>
  <c r="AR117" i="11"/>
  <c r="AS117" i="11"/>
  <c r="AT117" i="11"/>
  <c r="AU117" i="11"/>
  <c r="AV117" i="11"/>
  <c r="AW117" i="11"/>
  <c r="AX117" i="11"/>
  <c r="AY117" i="11"/>
  <c r="AZ117" i="11"/>
  <c r="BA117" i="11"/>
  <c r="BB117" i="11"/>
  <c r="BC117" i="11"/>
  <c r="BD117" i="11"/>
  <c r="BE117" i="11"/>
  <c r="BF117" i="11"/>
  <c r="BG117" i="11"/>
  <c r="BH117" i="11"/>
  <c r="BI117" i="11"/>
  <c r="BJ117" i="11"/>
  <c r="BK117" i="11"/>
  <c r="BL117" i="11"/>
  <c r="BM117" i="11"/>
  <c r="F117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J102" i="11"/>
  <c r="AK102" i="11"/>
  <c r="AL102" i="11"/>
  <c r="AM102" i="11"/>
  <c r="AN102" i="11"/>
  <c r="AO102" i="11"/>
  <c r="AP102" i="11"/>
  <c r="AQ102" i="11"/>
  <c r="AR102" i="11"/>
  <c r="AS102" i="11"/>
  <c r="AT102" i="11"/>
  <c r="AU102" i="11"/>
  <c r="AV102" i="11"/>
  <c r="AW102" i="11"/>
  <c r="AX102" i="11"/>
  <c r="AY102" i="11"/>
  <c r="AZ102" i="11"/>
  <c r="BA102" i="11"/>
  <c r="BB102" i="11"/>
  <c r="BC102" i="11"/>
  <c r="BD102" i="11"/>
  <c r="BE102" i="11"/>
  <c r="BF102" i="11"/>
  <c r="BG102" i="11"/>
  <c r="BH102" i="11"/>
  <c r="BI102" i="11"/>
  <c r="BJ102" i="11"/>
  <c r="BK102" i="11"/>
  <c r="BL102" i="11"/>
  <c r="BM102" i="11"/>
  <c r="F102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F76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F68" i="11"/>
  <c r="G59" i="11" l="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F5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F49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F56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J157" i="11"/>
  <c r="AK157" i="11"/>
  <c r="AL157" i="11"/>
  <c r="AM157" i="11"/>
  <c r="AN157" i="11"/>
  <c r="AO157" i="11"/>
  <c r="AP157" i="11"/>
  <c r="AQ157" i="11"/>
  <c r="AR157" i="11"/>
  <c r="AS157" i="11"/>
  <c r="AT157" i="11"/>
  <c r="AU157" i="11"/>
  <c r="AV157" i="11"/>
  <c r="AW157" i="11"/>
  <c r="AX157" i="11"/>
  <c r="AY157" i="11"/>
  <c r="AZ157" i="11"/>
  <c r="BA157" i="11"/>
  <c r="BB157" i="11"/>
  <c r="BC157" i="11"/>
  <c r="BD157" i="11"/>
  <c r="BE157" i="11"/>
  <c r="BF157" i="11"/>
  <c r="BG157" i="11"/>
  <c r="BH157" i="11"/>
  <c r="BI157" i="11"/>
  <c r="BJ157" i="11"/>
  <c r="BK157" i="11"/>
  <c r="BL157" i="11"/>
  <c r="BM157" i="11"/>
  <c r="F157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J153" i="11"/>
  <c r="AK153" i="11"/>
  <c r="AL153" i="11"/>
  <c r="AM153" i="11"/>
  <c r="AN153" i="11"/>
  <c r="AO153" i="11"/>
  <c r="AP153" i="11"/>
  <c r="AQ153" i="11"/>
  <c r="AR153" i="11"/>
  <c r="AS153" i="11"/>
  <c r="AT153" i="11"/>
  <c r="AU153" i="11"/>
  <c r="AV153" i="11"/>
  <c r="AW153" i="11"/>
  <c r="AX153" i="11"/>
  <c r="AY153" i="11"/>
  <c r="AZ153" i="11"/>
  <c r="BA153" i="11"/>
  <c r="BB153" i="11"/>
  <c r="BC153" i="11"/>
  <c r="BD153" i="11"/>
  <c r="BE153" i="11"/>
  <c r="BF153" i="11"/>
  <c r="BG153" i="11"/>
  <c r="BH153" i="11"/>
  <c r="BI153" i="11"/>
  <c r="BJ153" i="11"/>
  <c r="BK153" i="11"/>
  <c r="BL153" i="11"/>
  <c r="BM153" i="11"/>
  <c r="F153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J88" i="11"/>
  <c r="AK88" i="11"/>
  <c r="AL88" i="11"/>
  <c r="AM88" i="11"/>
  <c r="AN88" i="11"/>
  <c r="AO88" i="11"/>
  <c r="AP88" i="11"/>
  <c r="AQ88" i="11"/>
  <c r="AR88" i="11"/>
  <c r="AS88" i="11"/>
  <c r="AT88" i="11"/>
  <c r="AU88" i="11"/>
  <c r="AV88" i="11"/>
  <c r="AW88" i="11"/>
  <c r="AX88" i="11"/>
  <c r="AY88" i="11"/>
  <c r="AZ88" i="11"/>
  <c r="BA88" i="11"/>
  <c r="BB88" i="11"/>
  <c r="BC88" i="11"/>
  <c r="BD88" i="11"/>
  <c r="BE88" i="11"/>
  <c r="BF88" i="11"/>
  <c r="BG88" i="11"/>
  <c r="BH88" i="11"/>
  <c r="BI88" i="11"/>
  <c r="BJ88" i="11"/>
  <c r="BK88" i="11"/>
  <c r="BL88" i="11"/>
  <c r="BM88" i="11"/>
  <c r="F88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F30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F27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M91" i="12"/>
  <c r="BL91" i="12"/>
  <c r="BK91" i="12"/>
  <c r="BJ91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AW91" i="12"/>
  <c r="AV91" i="12"/>
  <c r="AU91" i="12"/>
  <c r="AT91" i="12"/>
  <c r="AS91" i="12"/>
  <c r="AR91" i="12"/>
  <c r="AQ91" i="12"/>
  <c r="AP91" i="12"/>
  <c r="AO91" i="12"/>
  <c r="AN91" i="12"/>
  <c r="AM91" i="12"/>
  <c r="AL91" i="12"/>
  <c r="AK91" i="12"/>
  <c r="AJ91" i="12"/>
  <c r="BM84" i="12"/>
  <c r="BL84" i="12"/>
  <c r="BK84" i="12"/>
  <c r="BJ84" i="12"/>
  <c r="BI84" i="12"/>
  <c r="BH84" i="12"/>
  <c r="BG84" i="12"/>
  <c r="BF84" i="12"/>
  <c r="BE84" i="12"/>
  <c r="BD84" i="12"/>
  <c r="BC84" i="12"/>
  <c r="BB84" i="12"/>
  <c r="BA84" i="12"/>
  <c r="AZ84" i="12"/>
  <c r="AY84" i="12"/>
  <c r="AX84" i="12"/>
  <c r="AW84" i="12"/>
  <c r="AV84" i="12"/>
  <c r="AU84" i="12"/>
  <c r="AT84" i="12"/>
  <c r="AS84" i="12"/>
  <c r="AR84" i="12"/>
  <c r="AQ84" i="12"/>
  <c r="AP84" i="12"/>
  <c r="AO84" i="12"/>
  <c r="AN84" i="12"/>
  <c r="AM84" i="12"/>
  <c r="AL84" i="12"/>
  <c r="AK84" i="12"/>
  <c r="AJ84" i="12"/>
  <c r="BM76" i="12"/>
  <c r="BL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K76" i="12"/>
  <c r="AJ76" i="12"/>
  <c r="Q9" i="12"/>
  <c r="Q11" i="12" s="1"/>
  <c r="P9" i="12"/>
  <c r="P11" i="12" s="1"/>
  <c r="O9" i="12"/>
  <c r="O11" i="12" s="1"/>
  <c r="N9" i="12"/>
  <c r="N11" i="12" s="1"/>
  <c r="M9" i="12"/>
  <c r="M11" i="12" s="1"/>
  <c r="L9" i="12"/>
  <c r="L11" i="12" s="1"/>
  <c r="K9" i="12"/>
  <c r="K11" i="12" s="1"/>
  <c r="J9" i="12"/>
  <c r="J11" i="12" s="1"/>
  <c r="I9" i="12"/>
  <c r="I11" i="12" s="1"/>
  <c r="H9" i="12"/>
  <c r="H11" i="12" s="1"/>
  <c r="G9" i="12"/>
  <c r="G11" i="12" s="1"/>
  <c r="F9" i="12"/>
  <c r="F11" i="12" s="1"/>
  <c r="Q8" i="12"/>
  <c r="P8" i="12"/>
  <c r="O8" i="12"/>
  <c r="N8" i="12"/>
  <c r="M8" i="12"/>
  <c r="L8" i="12"/>
  <c r="K8" i="12"/>
  <c r="J8" i="12"/>
  <c r="I8" i="12"/>
  <c r="H8" i="12"/>
  <c r="G8" i="12"/>
  <c r="F8" i="12"/>
  <c r="Q6" i="12"/>
  <c r="P6" i="12"/>
  <c r="O6" i="12"/>
  <c r="N6" i="12"/>
  <c r="M6" i="12"/>
  <c r="L6" i="12"/>
  <c r="K6" i="12"/>
  <c r="J6" i="12"/>
  <c r="I6" i="12"/>
  <c r="H6" i="12"/>
  <c r="G6" i="12"/>
  <c r="F6" i="12"/>
  <c r="Q4" i="12"/>
  <c r="P4" i="12"/>
  <c r="O4" i="12"/>
  <c r="N4" i="12"/>
  <c r="M4" i="12"/>
  <c r="L4" i="12"/>
  <c r="K4" i="12"/>
  <c r="J4" i="12"/>
  <c r="I4" i="12"/>
  <c r="H4" i="12"/>
  <c r="G4" i="12"/>
  <c r="F4" i="12"/>
  <c r="Q3" i="12"/>
  <c r="P3" i="12"/>
  <c r="O3" i="12"/>
  <c r="N3" i="12"/>
  <c r="M3" i="12"/>
  <c r="L3" i="12"/>
  <c r="K3" i="12"/>
  <c r="J3" i="12"/>
  <c r="I3" i="12"/>
  <c r="H3" i="12"/>
  <c r="G3" i="12"/>
  <c r="F3" i="12"/>
  <c r="Q2" i="12"/>
  <c r="P2" i="12"/>
  <c r="O2" i="12"/>
  <c r="N2" i="12"/>
  <c r="M2" i="12"/>
  <c r="L2" i="12"/>
  <c r="K2" i="12"/>
  <c r="J2" i="12"/>
  <c r="I2" i="12"/>
  <c r="H2" i="12"/>
  <c r="G2" i="12"/>
  <c r="F2" i="12"/>
  <c r="Q9" i="11"/>
  <c r="Q11" i="11" s="1"/>
  <c r="P9" i="11"/>
  <c r="P11" i="11" s="1"/>
  <c r="O9" i="11"/>
  <c r="O11" i="11" s="1"/>
  <c r="N9" i="11"/>
  <c r="N11" i="11" s="1"/>
  <c r="M9" i="11"/>
  <c r="M11" i="11" s="1"/>
  <c r="L9" i="11"/>
  <c r="L11" i="11" s="1"/>
  <c r="K9" i="11"/>
  <c r="K11" i="11" s="1"/>
  <c r="J9" i="11"/>
  <c r="J11" i="11" s="1"/>
  <c r="I9" i="11"/>
  <c r="I11" i="11" s="1"/>
  <c r="H9" i="11"/>
  <c r="H11" i="11" s="1"/>
  <c r="G9" i="11"/>
  <c r="G11" i="11" s="1"/>
  <c r="F9" i="11"/>
  <c r="F11" i="11" s="1"/>
  <c r="Q8" i="11"/>
  <c r="P8" i="11"/>
  <c r="O8" i="11"/>
  <c r="N8" i="11"/>
  <c r="M8" i="11"/>
  <c r="L8" i="11"/>
  <c r="K8" i="11"/>
  <c r="J8" i="11"/>
  <c r="I8" i="11"/>
  <c r="H8" i="11"/>
  <c r="G8" i="11"/>
  <c r="F8" i="11"/>
  <c r="Q6" i="11"/>
  <c r="P6" i="11"/>
  <c r="O6" i="11"/>
  <c r="N6" i="11"/>
  <c r="M6" i="11"/>
  <c r="L6" i="11"/>
  <c r="K6" i="11"/>
  <c r="J6" i="11"/>
  <c r="I6" i="11"/>
  <c r="H6" i="11"/>
  <c r="G6" i="11"/>
  <c r="F6" i="11"/>
  <c r="Q4" i="11"/>
  <c r="P4" i="11"/>
  <c r="O4" i="11"/>
  <c r="N4" i="11"/>
  <c r="M4" i="11"/>
  <c r="L4" i="11"/>
  <c r="K4" i="11"/>
  <c r="J4" i="11"/>
  <c r="I4" i="11"/>
  <c r="H4" i="11"/>
  <c r="G4" i="11"/>
  <c r="F4" i="11"/>
  <c r="Q3" i="11"/>
  <c r="P3" i="11"/>
  <c r="O3" i="11"/>
  <c r="N3" i="11"/>
  <c r="M3" i="11"/>
  <c r="L3" i="11"/>
  <c r="K3" i="11"/>
  <c r="J3" i="11"/>
  <c r="I3" i="11"/>
  <c r="H3" i="11"/>
  <c r="G3" i="11"/>
  <c r="F3" i="11"/>
  <c r="Q2" i="11"/>
  <c r="P2" i="11"/>
  <c r="O2" i="11"/>
  <c r="N2" i="11"/>
  <c r="M2" i="11"/>
  <c r="L2" i="11"/>
  <c r="K2" i="11"/>
  <c r="J2" i="11"/>
  <c r="I2" i="11"/>
  <c r="H2" i="11"/>
  <c r="G2" i="11"/>
  <c r="F2" i="11"/>
  <c r="P9" i="1"/>
  <c r="O9" i="1"/>
  <c r="N9" i="1"/>
  <c r="M9" i="1"/>
  <c r="L9" i="1"/>
  <c r="K9" i="1"/>
  <c r="J9" i="1"/>
  <c r="I9" i="1"/>
  <c r="H9" i="1"/>
  <c r="G9" i="1"/>
  <c r="F9" i="1"/>
  <c r="E9" i="1"/>
  <c r="P8" i="1"/>
  <c r="O8" i="1"/>
  <c r="N8" i="1"/>
  <c r="M8" i="1"/>
  <c r="L8" i="1"/>
  <c r="K8" i="1"/>
  <c r="J8" i="1"/>
  <c r="I8" i="1"/>
  <c r="H8" i="1"/>
  <c r="G8" i="1"/>
  <c r="F8" i="1"/>
  <c r="E8" i="1"/>
  <c r="P6" i="1"/>
  <c r="O6" i="1"/>
  <c r="N6" i="1"/>
  <c r="M6" i="1"/>
  <c r="L6" i="1"/>
  <c r="K6" i="1"/>
  <c r="J6" i="1"/>
  <c r="I6" i="1"/>
  <c r="H6" i="1"/>
  <c r="G6" i="1"/>
  <c r="F6" i="1"/>
  <c r="E6" i="1"/>
  <c r="P4" i="1"/>
  <c r="O4" i="1"/>
  <c r="N4" i="1"/>
  <c r="M4" i="1"/>
  <c r="L4" i="1"/>
  <c r="K4" i="1"/>
  <c r="J4" i="1"/>
  <c r="I4" i="1"/>
  <c r="H4" i="1"/>
  <c r="G4" i="1"/>
  <c r="F4" i="1"/>
  <c r="E4" i="1"/>
  <c r="P3" i="1"/>
  <c r="O3" i="1"/>
  <c r="N3" i="1"/>
  <c r="M3" i="1"/>
  <c r="L3" i="1"/>
  <c r="K3" i="1"/>
  <c r="J3" i="1"/>
  <c r="I3" i="1"/>
  <c r="H3" i="1"/>
  <c r="G3" i="1"/>
  <c r="F3" i="1"/>
  <c r="E3" i="1"/>
  <c r="P2" i="1"/>
  <c r="O2" i="1"/>
  <c r="N2" i="1"/>
  <c r="M2" i="1"/>
  <c r="L2" i="1"/>
  <c r="K2" i="1"/>
  <c r="J2" i="1"/>
  <c r="I2" i="1"/>
  <c r="H2" i="1"/>
  <c r="G2" i="1"/>
  <c r="F2" i="1"/>
  <c r="E2" i="1"/>
  <c r="P9" i="4"/>
  <c r="O9" i="4"/>
  <c r="N9" i="4"/>
  <c r="M9" i="4"/>
  <c r="L9" i="4"/>
  <c r="K9" i="4"/>
  <c r="J9" i="4"/>
  <c r="I9" i="4"/>
  <c r="H9" i="4"/>
  <c r="G9" i="4"/>
  <c r="F9" i="4"/>
  <c r="E9" i="4"/>
  <c r="P8" i="4"/>
  <c r="O8" i="4"/>
  <c r="N8" i="4"/>
  <c r="M8" i="4"/>
  <c r="L8" i="4"/>
  <c r="K8" i="4"/>
  <c r="J8" i="4"/>
  <c r="I8" i="4"/>
  <c r="H8" i="4"/>
  <c r="G8" i="4"/>
  <c r="F8" i="4"/>
  <c r="E8" i="4"/>
  <c r="P6" i="4"/>
  <c r="O6" i="4"/>
  <c r="N6" i="4"/>
  <c r="M6" i="4"/>
  <c r="L6" i="4"/>
  <c r="K6" i="4"/>
  <c r="J6" i="4"/>
  <c r="I6" i="4"/>
  <c r="H6" i="4"/>
  <c r="G6" i="4"/>
  <c r="F6" i="4"/>
  <c r="E6" i="4"/>
  <c r="P4" i="4"/>
  <c r="O4" i="4"/>
  <c r="N4" i="4"/>
  <c r="M4" i="4"/>
  <c r="L4" i="4"/>
  <c r="K4" i="4"/>
  <c r="J4" i="4"/>
  <c r="I4" i="4"/>
  <c r="H4" i="4"/>
  <c r="G4" i="4"/>
  <c r="F4" i="4"/>
  <c r="E4" i="4"/>
  <c r="P3" i="4"/>
  <c r="O3" i="4"/>
  <c r="N3" i="4"/>
  <c r="M3" i="4"/>
  <c r="L3" i="4"/>
  <c r="K3" i="4"/>
  <c r="J3" i="4"/>
  <c r="I3" i="4"/>
  <c r="H3" i="4"/>
  <c r="G3" i="4"/>
  <c r="F3" i="4"/>
  <c r="E3" i="4"/>
  <c r="P2" i="4"/>
  <c r="O2" i="4"/>
  <c r="N2" i="4"/>
  <c r="M2" i="4"/>
  <c r="L2" i="4"/>
  <c r="K2" i="4"/>
  <c r="J2" i="4"/>
  <c r="I2" i="4"/>
  <c r="H2" i="4"/>
  <c r="G2" i="4"/>
  <c r="F2" i="4"/>
  <c r="E2" i="4"/>
  <c r="BL85" i="1" l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</calcChain>
</file>

<file path=xl/sharedStrings.xml><?xml version="1.0" encoding="utf-8"?>
<sst xmlns="http://schemas.openxmlformats.org/spreadsheetml/2006/main" count="1866" uniqueCount="257">
  <si>
    <t>No.</t>
  </si>
  <si>
    <t>SiglaProyecto</t>
  </si>
  <si>
    <t>NombreProyecto</t>
  </si>
  <si>
    <t>NombreEstacionPeaje</t>
  </si>
  <si>
    <t>APM</t>
  </si>
  <si>
    <t>ARMENIA-PEREIRA-MANIZALES</t>
  </si>
  <si>
    <t>CIRCASIA</t>
  </si>
  <si>
    <t>COROZAL</t>
  </si>
  <si>
    <t>PAVAS</t>
  </si>
  <si>
    <t>SAN BERNARDO</t>
  </si>
  <si>
    <t>SANTAGUEDA</t>
  </si>
  <si>
    <t>TARAPACA I</t>
  </si>
  <si>
    <t>TARAPACA II</t>
  </si>
  <si>
    <t>SV</t>
  </si>
  <si>
    <t>BOGOTÁ - SIBERIA - LA PUNTA - EL VINO - VILLETA</t>
  </si>
  <si>
    <t>CAIQUERO</t>
  </si>
  <si>
    <t>SIBERIA</t>
  </si>
  <si>
    <t>BV</t>
  </si>
  <si>
    <t>BOGOTÁ - VILLAVICENCIO</t>
  </si>
  <si>
    <t>NARANJAL</t>
  </si>
  <si>
    <t>PIPIRAL</t>
  </si>
  <si>
    <t>CB</t>
  </si>
  <si>
    <t>CARTAGENA-BARRANQUILLA</t>
  </si>
  <si>
    <t>MARAHUACO</t>
  </si>
  <si>
    <t>PAPIROS</t>
  </si>
  <si>
    <t>PUERTO COLOMBIA</t>
  </si>
  <si>
    <t>DVN</t>
  </si>
  <si>
    <t>DESARROLLO VIAL DEL NORTE DE BOGOTÁ</t>
  </si>
  <si>
    <t>ANDES</t>
  </si>
  <si>
    <t>FUSCA</t>
  </si>
  <si>
    <t>UNISABANA</t>
  </si>
  <si>
    <t>DVM</t>
  </si>
  <si>
    <t>DESARROLLO VIAL DEL ORIENTE DE MEDELLÍN</t>
  </si>
  <si>
    <t>COCORNA</t>
  </si>
  <si>
    <t>GUARNE</t>
  </si>
  <si>
    <t>LAS PALMAS</t>
  </si>
  <si>
    <t>PTO TRIUNFO</t>
  </si>
  <si>
    <t>FFA</t>
  </si>
  <si>
    <t>FONTIBÓN - FACATATIVÁ - LOS ALPES</t>
  </si>
  <si>
    <t>CORZO</t>
  </si>
  <si>
    <t>RIO BOGOTA</t>
  </si>
  <si>
    <t>MVM</t>
  </si>
  <si>
    <t>MALLA VIAL DEL META</t>
  </si>
  <si>
    <t>IRACA</t>
  </si>
  <si>
    <t>LA LIBERTAD</t>
  </si>
  <si>
    <t>OCOA</t>
  </si>
  <si>
    <t>PUENTE AMARILLO</t>
  </si>
  <si>
    <t>VERACRUZ</t>
  </si>
  <si>
    <t>NEG</t>
  </si>
  <si>
    <t>NEIVA - ESPINAL - GIRARDOT</t>
  </si>
  <si>
    <t>EL PATA</t>
  </si>
  <si>
    <t>FLANDES</t>
  </si>
  <si>
    <t>NEIVA</t>
  </si>
  <si>
    <t>SMP</t>
  </si>
  <si>
    <t>SANTA MARTA-RIOHACHA-PARAGUACHÓN</t>
  </si>
  <si>
    <t>ALTO PINO</t>
  </si>
  <si>
    <t>EL EBANAL</t>
  </si>
  <si>
    <t>NEGUANJE</t>
  </si>
  <si>
    <t>PARAGUACHON</t>
  </si>
  <si>
    <t>MVC</t>
  </si>
  <si>
    <t>MALLA VIAL DEL VALLE DEL CAUCA Y CAUCA</t>
  </si>
  <si>
    <t>CENCAR</t>
  </si>
  <si>
    <t>CERRITO</t>
  </si>
  <si>
    <t>CIAT</t>
  </si>
  <si>
    <t>ESTAMBUL</t>
  </si>
  <si>
    <t>MEDIACANOA</t>
  </si>
  <si>
    <t>PASO DE LA TORRE</t>
  </si>
  <si>
    <t>ROZO</t>
  </si>
  <si>
    <t>TUNIA</t>
  </si>
  <si>
    <t>VILLARICA</t>
  </si>
  <si>
    <t>AMC</t>
  </si>
  <si>
    <t>ÁREA METROPOLITANA DE CÚCUTA Y NORTE DE SANTANDER</t>
  </si>
  <si>
    <t>EL ESCOBAL</t>
  </si>
  <si>
    <t>LA PARADA</t>
  </si>
  <si>
    <t>LOS ACACIOS</t>
  </si>
  <si>
    <t>BGG</t>
  </si>
  <si>
    <t>BOGOTÁ (BOSA) - GRANADA - GIRARDOT S.A.</t>
  </si>
  <si>
    <t>CHINAUTA</t>
  </si>
  <si>
    <t>CHUSACA</t>
  </si>
  <si>
    <t>BTS</t>
  </si>
  <si>
    <t>BRICEÑO - TUNJA - SOGAMOSO</t>
  </si>
  <si>
    <t>ALBARRACIN</t>
  </si>
  <si>
    <t>EL ROBLE</t>
  </si>
  <si>
    <t>TUTA</t>
  </si>
  <si>
    <t>CS</t>
  </si>
  <si>
    <t>CÓRDOBA - SUCRE</t>
  </si>
  <si>
    <t>LA ESPERANZA</t>
  </si>
  <si>
    <t>LAS FLORES</t>
  </si>
  <si>
    <t>GIC</t>
  </si>
  <si>
    <t>GIRARDOT - IBAGUÉ - CAJAMARCA</t>
  </si>
  <si>
    <t>CHICORAL</t>
  </si>
  <si>
    <t>GUALANDAY</t>
  </si>
  <si>
    <t>PL</t>
  </si>
  <si>
    <t>PEREIRA - LA VICTORIA</t>
  </si>
  <si>
    <t>CERRITOS II</t>
  </si>
  <si>
    <t>RPC</t>
  </si>
  <si>
    <t>RUMICHACA - PASTO - CHACHAGUI</t>
  </si>
  <si>
    <t>CANO</t>
  </si>
  <si>
    <t>DAZA</t>
  </si>
  <si>
    <t>EL PLACER</t>
  </si>
  <si>
    <t>RC</t>
  </si>
  <si>
    <t>RUTA CARIBE</t>
  </si>
  <si>
    <t>BAYUNCA</t>
  </si>
  <si>
    <t>GALAPA</t>
  </si>
  <si>
    <t>GAMBOTE</t>
  </si>
  <si>
    <t>PASACABALLOS</t>
  </si>
  <si>
    <t>PONEDERA</t>
  </si>
  <si>
    <t>SABANAGRANDE</t>
  </si>
  <si>
    <t>TURBACO</t>
  </si>
  <si>
    <t>RDS1</t>
  </si>
  <si>
    <t>RUTA DEL SOL 1</t>
  </si>
  <si>
    <t>EL KORAN</t>
  </si>
  <si>
    <t>RDS2</t>
  </si>
  <si>
    <t>RUTA DEL SOL SECTOR 2</t>
  </si>
  <si>
    <t>AGUAS NEGRAS</t>
  </si>
  <si>
    <t>GAMARRA</t>
  </si>
  <si>
    <t>LA GOMEZ</t>
  </si>
  <si>
    <t>MORRISON</t>
  </si>
  <si>
    <t>PAILITAS</t>
  </si>
  <si>
    <t>PLATANAL</t>
  </si>
  <si>
    <t>ZAMBITO</t>
  </si>
  <si>
    <t>RDS3</t>
  </si>
  <si>
    <t>RUTA DEL SOL SECTOR 3</t>
  </si>
  <si>
    <t>EL COPEY</t>
  </si>
  <si>
    <t>EL DIFICIL</t>
  </si>
  <si>
    <t>LA LOMA</t>
  </si>
  <si>
    <t>PUENTE PLATO</t>
  </si>
  <si>
    <t>TUCURINCA</t>
  </si>
  <si>
    <t>VALENCIA</t>
  </si>
  <si>
    <t>TVA</t>
  </si>
  <si>
    <t>TRANSVERSAL DE LAS AMÉRICAS</t>
  </si>
  <si>
    <t>CEDROS</t>
  </si>
  <si>
    <t>PURGATORIO</t>
  </si>
  <si>
    <t>ZMB</t>
  </si>
  <si>
    <t>ZONA METROPOLITANA DE BUCARAMANGA</t>
  </si>
  <si>
    <t>LEBRIJA</t>
  </si>
  <si>
    <t>RIONEGRO</t>
  </si>
  <si>
    <t>M2</t>
  </si>
  <si>
    <t>AUTOPISTA AL MAR 2</t>
  </si>
  <si>
    <t>CIRILO</t>
  </si>
  <si>
    <t>P1</t>
  </si>
  <si>
    <t>AUTOPISTA CONEXIÓN PACIFICO 1</t>
  </si>
  <si>
    <t>AMAGA</t>
  </si>
  <si>
    <t>P2</t>
  </si>
  <si>
    <t>AUTOPISTA CONEXIÓN PACIFICO 2</t>
  </si>
  <si>
    <t>LA PINTADA</t>
  </si>
  <si>
    <t>PRIMAVERA</t>
  </si>
  <si>
    <t>P3</t>
  </si>
  <si>
    <t>AUTOPISTA CONEXIÓN PACIFICO 3</t>
  </si>
  <si>
    <t>ACAPULCO</t>
  </si>
  <si>
    <t>SUPIA</t>
  </si>
  <si>
    <t>RM</t>
  </si>
  <si>
    <t>AUTOPISTAS AL RÍO MAGDALENA 2</t>
  </si>
  <si>
    <t>PUERTO BERRIO</t>
  </si>
  <si>
    <t>BBY</t>
  </si>
  <si>
    <t>BUCARAMANGA - BARRANCABERMEJA - YONDÓ</t>
  </si>
  <si>
    <t>RIO SOGAMOSO</t>
  </si>
  <si>
    <t>BP</t>
  </si>
  <si>
    <t>BUCARAMANGA - PAMPLONA</t>
  </si>
  <si>
    <t>EL PICACHO</t>
  </si>
  <si>
    <t>BL</t>
  </si>
  <si>
    <t>BUGA - LOBOGUERRERO</t>
  </si>
  <si>
    <t>LOBOGUERRERO</t>
  </si>
  <si>
    <t>CB2</t>
  </si>
  <si>
    <t>CARTAGENA - BARRANQUILLA CIRCUNVALAR DE LA PROSPERIDAD</t>
  </si>
  <si>
    <t>JUAN MINA</t>
  </si>
  <si>
    <t>M1</t>
  </si>
  <si>
    <t>CONCESIÓN AUTOPISTA AL MAR 1</t>
  </si>
  <si>
    <t>PALMITAS</t>
  </si>
  <si>
    <t>SAN CRISTOBAL</t>
  </si>
  <si>
    <t>GHP</t>
  </si>
  <si>
    <t>GIRARDOT - HONDA - PUERTO SALGAR</t>
  </si>
  <si>
    <t>BRISAS</t>
  </si>
  <si>
    <t>CAMBAO</t>
  </si>
  <si>
    <t>GUATAQUI</t>
  </si>
  <si>
    <t>IP-AN</t>
  </si>
  <si>
    <t>IP - ACCESOS NORTE</t>
  </si>
  <si>
    <t>IP-AB</t>
  </si>
  <si>
    <t>IP - ANTIOQUIA BOLIVAR</t>
  </si>
  <si>
    <t>CAIMANERA</t>
  </si>
  <si>
    <t>LA APARTADA</t>
  </si>
  <si>
    <t>MANGUITOS</t>
  </si>
  <si>
    <t>MATA DE CAÑA</t>
  </si>
  <si>
    <t>SAN CARLOS</t>
  </si>
  <si>
    <t>SAN ONOFRE</t>
  </si>
  <si>
    <t>IP-CM</t>
  </si>
  <si>
    <t>IP - CAMBAO-MANIZALES</t>
  </si>
  <si>
    <t>ALVARADO</t>
  </si>
  <si>
    <t>HONDA</t>
  </si>
  <si>
    <t>IP-CG</t>
  </si>
  <si>
    <t>IP - CESAR - GUAJIRA</t>
  </si>
  <si>
    <t>RINCON HONDO</t>
  </si>
  <si>
    <t>RIO SECO</t>
  </si>
  <si>
    <t>SAN DIEGO</t>
  </si>
  <si>
    <t>SAN JUAN</t>
  </si>
  <si>
    <t>IP-MVM</t>
  </si>
  <si>
    <t>IP - MALLA VIAL DEL META</t>
  </si>
  <si>
    <t>CASETABLA</t>
  </si>
  <si>
    <t>YUCAO</t>
  </si>
  <si>
    <t>IP-NEG</t>
  </si>
  <si>
    <t>IP - NEIVA GIRARDOT</t>
  </si>
  <si>
    <t>IP-TC</t>
  </si>
  <si>
    <t>IP - TERCER CARRIL</t>
  </si>
  <si>
    <t>IP-VP</t>
  </si>
  <si>
    <t>IP - VÍA AL PUERTO</t>
  </si>
  <si>
    <t>IP-VN</t>
  </si>
  <si>
    <t>IP - VÍA DEL NUS</t>
  </si>
  <si>
    <t>CISNEROS</t>
  </si>
  <si>
    <t>POC</t>
  </si>
  <si>
    <t>PERIMETRAL DE ORIENTE DE CUNDINAMARCA</t>
  </si>
  <si>
    <t>LA CABAÑA</t>
  </si>
  <si>
    <t>PATIOS</t>
  </si>
  <si>
    <t>PHC</t>
  </si>
  <si>
    <t>PUERTA DE HIERRO - CRUZ DEL VISO</t>
  </si>
  <si>
    <t>CALAMAR</t>
  </si>
  <si>
    <t>EL CARMEN</t>
  </si>
  <si>
    <t>RP</t>
  </si>
  <si>
    <t>RUMICHACA - PASTO</t>
  </si>
  <si>
    <t>SMN</t>
  </si>
  <si>
    <t>SANTANA-MOCOA-NEIVA</t>
  </si>
  <si>
    <t>ALTAMIRA</t>
  </si>
  <si>
    <t>LOS CAUCHOS</t>
  </si>
  <si>
    <t>TVS</t>
  </si>
  <si>
    <t>TRANSVERSAL DEL SISGA</t>
  </si>
  <si>
    <t>MACHETA</t>
  </si>
  <si>
    <t>VY</t>
  </si>
  <si>
    <t>VILLAVICENCIO-YOPAL</t>
  </si>
  <si>
    <t>SAN PEDRO</t>
  </si>
  <si>
    <t>ZP</t>
  </si>
  <si>
    <t>ZIPAQUIRÁ - PALENQUE</t>
  </si>
  <si>
    <t>CASABLANCA</t>
  </si>
  <si>
    <t>CURITI</t>
  </si>
  <si>
    <t>LOS CUROS</t>
  </si>
  <si>
    <t>OIBA</t>
  </si>
  <si>
    <t>SABOYA</t>
  </si>
  <si>
    <t>BOQUERON I Y BOQUERON II</t>
  </si>
  <si>
    <t>LOS GARZONES 1 Y LOS GARZONES 2</t>
  </si>
  <si>
    <t>CAIQUEROS</t>
  </si>
  <si>
    <t>EL CERRITO</t>
  </si>
  <si>
    <t>EL CORZO</t>
  </si>
  <si>
    <t>El YUCAO</t>
  </si>
  <si>
    <t>LOS CEDROS</t>
  </si>
  <si>
    <t>LOS MANGUITOS</t>
  </si>
  <si>
    <t>LOS PATIOS</t>
  </si>
  <si>
    <t>PAVAS (TRINIDAD I)</t>
  </si>
  <si>
    <t>PICACHO</t>
  </si>
  <si>
    <t>PUENTE QUETAME (NARANJAL)</t>
  </si>
  <si>
    <t>PUERTO TRIUNFO</t>
  </si>
  <si>
    <t>SAN BERNARDO (TRINIDAD ll)</t>
  </si>
  <si>
    <t>SANT'AGUEDA</t>
  </si>
  <si>
    <t>VERSALLES (PRIMAVERA)</t>
  </si>
  <si>
    <t>SAN GIL - CURITI</t>
  </si>
  <si>
    <t>Codigo Invias</t>
  </si>
  <si>
    <t>EL BOQUERON I</t>
  </si>
  <si>
    <t>LOS GARZONES 1</t>
  </si>
  <si>
    <t>NENGUANJE</t>
  </si>
  <si>
    <t>EL YUCAO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</si>
</sst>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0" borderId="1" xfId="0" applyBorder="1"/>
    <xf numFmtId="42" fontId="0" fillId="0" borderId="1" xfId="1" applyFont="1" applyBorder="1"/>
    <xf numFmtId="42" fontId="0" fillId="0" borderId="0" xfId="1" applyFont="1"/>
    <xf numFmtId="165" fontId="0" fillId="3" borderId="1" xfId="2" applyNumberFormat="1" applyFont="1" applyFill="1" applyBorder="1"/>
    <xf numFmtId="14" fontId="0" fillId="2" borderId="1" xfId="1" applyNumberFormat="1" applyFont="1" applyFill="1" applyBorder="1"/>
    <xf numFmtId="0" fontId="3" fillId="4" borderId="1" xfId="3" applyBorder="1"/>
    <xf numFmtId="165" fontId="3" fillId="4" borderId="1" xfId="3" applyNumberFormat="1" applyBorder="1"/>
    <xf numFmtId="0" fontId="3" fillId="4" borderId="0" xfId="3"/>
    <xf numFmtId="42" fontId="3" fillId="4" borderId="1" xfId="3" applyNumberFormat="1" applyBorder="1"/>
  </cellXfs>
  <cellStyles count="4">
    <cellStyle name="Bad" xfId="3" builtinId="27"/>
    <cellStyle name="Currency [0]" xfId="1" builtinId="7"/>
    <cellStyle name="Millares 2" xfId="2" xr:uid="{7FDD0E64-18C6-4DFB-80D1-D8E154E666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andes-my.sharepoint.com/Users/bgomez/Dropbox/ANI/Operaciones%20Estad&#237;sticas%20-%20DANE%20ANI/Evidencias/Prueba%20Consolidado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%20datos%20Peajes%20INV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Rec"/>
      <sheetName val="Resumen Traf"/>
      <sheetName val="Resumen TPD"/>
      <sheetName val="AMC"/>
      <sheetName val="APM"/>
      <sheetName val="BTS"/>
      <sheetName val="BV"/>
      <sheetName val="BGG"/>
      <sheetName val="BL"/>
      <sheetName val="CB"/>
      <sheetName val="CS"/>
      <sheetName val="DVM"/>
      <sheetName val="DVN"/>
      <sheetName val="FFA"/>
      <sheetName val="GIC"/>
      <sheetName val="MVM"/>
      <sheetName val="MVC"/>
      <sheetName val="NEG"/>
      <sheetName val="PL"/>
      <sheetName val="RPC"/>
      <sheetName val="RC"/>
      <sheetName val="RDS1"/>
      <sheetName val="RDS2"/>
      <sheetName val="RDS3"/>
      <sheetName val="SMP"/>
      <sheetName val="SV"/>
      <sheetName val="TVA"/>
      <sheetName val="ZP"/>
      <sheetName val="ZMB"/>
      <sheetName val="P1"/>
      <sheetName val="P2"/>
      <sheetName val="P3"/>
      <sheetName val="P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9">
          <cell r="C99">
            <v>277546</v>
          </cell>
        </row>
        <row r="239">
          <cell r="C239">
            <v>194695</v>
          </cell>
          <cell r="D239">
            <v>160556</v>
          </cell>
          <cell r="E239">
            <v>244244</v>
          </cell>
          <cell r="F239">
            <v>282834</v>
          </cell>
          <cell r="G239">
            <v>305408</v>
          </cell>
          <cell r="H239">
            <v>241843</v>
          </cell>
          <cell r="I239">
            <v>313235</v>
          </cell>
          <cell r="J239">
            <v>287770</v>
          </cell>
          <cell r="K239">
            <v>313329</v>
          </cell>
          <cell r="L239">
            <v>263142</v>
          </cell>
          <cell r="M239">
            <v>312162</v>
          </cell>
          <cell r="N239">
            <v>303257</v>
          </cell>
          <cell r="O239">
            <v>425273</v>
          </cell>
        </row>
        <row r="286">
          <cell r="C286">
            <v>1442316500</v>
          </cell>
          <cell r="D286">
            <v>1372216000</v>
          </cell>
          <cell r="E286">
            <v>2150715500</v>
          </cell>
          <cell r="F286">
            <v>2454205500</v>
          </cell>
          <cell r="G286">
            <v>2514977300</v>
          </cell>
          <cell r="H286">
            <v>2133125800</v>
          </cell>
          <cell r="I286">
            <v>2538499800</v>
          </cell>
          <cell r="J286">
            <v>2460351400</v>
          </cell>
          <cell r="K286">
            <v>2594860700</v>
          </cell>
          <cell r="L286">
            <v>2286220800</v>
          </cell>
          <cell r="M286">
            <v>2620097900</v>
          </cell>
          <cell r="N286">
            <v>2520503000</v>
          </cell>
          <cell r="O286">
            <v>3330089000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99">
          <cell r="C99">
            <v>161424</v>
          </cell>
          <cell r="D99">
            <v>790295</v>
          </cell>
          <cell r="E99">
            <v>896015</v>
          </cell>
          <cell r="F99">
            <v>989585</v>
          </cell>
          <cell r="G99">
            <v>940167</v>
          </cell>
          <cell r="H99">
            <v>1001869</v>
          </cell>
          <cell r="I99">
            <v>943065</v>
          </cell>
          <cell r="J99">
            <v>969776</v>
          </cell>
          <cell r="K99">
            <v>1041110</v>
          </cell>
          <cell r="L99">
            <v>988229</v>
          </cell>
          <cell r="M99">
            <v>1050048</v>
          </cell>
          <cell r="N99">
            <v>1027593</v>
          </cell>
          <cell r="O99">
            <v>1154847</v>
          </cell>
        </row>
        <row r="146">
          <cell r="C146">
            <v>1264351000</v>
          </cell>
          <cell r="D146">
            <v>6688173200</v>
          </cell>
          <cell r="E146">
            <v>7590463100</v>
          </cell>
          <cell r="F146">
            <v>8330167150</v>
          </cell>
          <cell r="G146">
            <v>7900818950</v>
          </cell>
          <cell r="H146">
            <v>8560416350</v>
          </cell>
          <cell r="I146">
            <v>7901251600</v>
          </cell>
          <cell r="J146">
            <v>8213085500</v>
          </cell>
          <cell r="K146">
            <v>8616967700</v>
          </cell>
          <cell r="L146">
            <v>8315652000</v>
          </cell>
          <cell r="M146">
            <v>8833611700</v>
          </cell>
          <cell r="N146">
            <v>8604355650</v>
          </cell>
          <cell r="O146">
            <v>9485373900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99">
          <cell r="C99">
            <v>102470</v>
          </cell>
        </row>
        <row r="239">
          <cell r="C239">
            <v>121778</v>
          </cell>
          <cell r="D239">
            <v>53544</v>
          </cell>
          <cell r="E239">
            <v>111638</v>
          </cell>
          <cell r="F239">
            <v>119312</v>
          </cell>
          <cell r="G239">
            <v>141652</v>
          </cell>
          <cell r="H239">
            <v>82592</v>
          </cell>
          <cell r="I239">
            <v>132517</v>
          </cell>
          <cell r="J239">
            <v>141978</v>
          </cell>
          <cell r="K239">
            <v>131071</v>
          </cell>
          <cell r="L239">
            <v>130525</v>
          </cell>
          <cell r="M239">
            <v>144947</v>
          </cell>
          <cell r="N239">
            <v>121281</v>
          </cell>
          <cell r="O239">
            <v>163462</v>
          </cell>
        </row>
        <row r="286">
          <cell r="C286">
            <v>1650375000</v>
          </cell>
          <cell r="D286">
            <v>911104700</v>
          </cell>
          <cell r="E286">
            <v>1987096100</v>
          </cell>
          <cell r="F286">
            <v>2102758800</v>
          </cell>
          <cell r="G286">
            <v>2307533200</v>
          </cell>
          <cell r="H286">
            <v>1298448700</v>
          </cell>
          <cell r="I286">
            <v>2265932200</v>
          </cell>
          <cell r="J286">
            <v>2525486800</v>
          </cell>
          <cell r="K286">
            <v>2293193000</v>
          </cell>
          <cell r="L286">
            <v>2347483800</v>
          </cell>
          <cell r="M286">
            <v>2558532300</v>
          </cell>
          <cell r="N286">
            <v>2089922900</v>
          </cell>
          <cell r="O286">
            <v>2443851600</v>
          </cell>
        </row>
      </sheetData>
      <sheetData sheetId="23" refreshError="1"/>
      <sheetData sheetId="24" refreshError="1">
        <row r="99">
          <cell r="C99">
            <v>77055</v>
          </cell>
        </row>
        <row r="379">
          <cell r="C379">
            <v>45031</v>
          </cell>
          <cell r="D379">
            <v>44997</v>
          </cell>
          <cell r="E379">
            <v>68820</v>
          </cell>
          <cell r="F379">
            <v>72522</v>
          </cell>
          <cell r="G379">
            <v>74268</v>
          </cell>
          <cell r="H379">
            <v>75313</v>
          </cell>
          <cell r="I379">
            <v>74567</v>
          </cell>
          <cell r="J379">
            <v>77920</v>
          </cell>
          <cell r="K379">
            <v>74311</v>
          </cell>
          <cell r="L379">
            <v>68660</v>
          </cell>
          <cell r="M379">
            <v>67749</v>
          </cell>
          <cell r="N379">
            <v>68918</v>
          </cell>
          <cell r="O379">
            <v>84597</v>
          </cell>
        </row>
        <row r="426">
          <cell r="C426">
            <v>392733700</v>
          </cell>
          <cell r="D426">
            <v>408606000</v>
          </cell>
          <cell r="E426">
            <v>630348700</v>
          </cell>
          <cell r="F426">
            <v>664797400</v>
          </cell>
          <cell r="G426">
            <v>677427600</v>
          </cell>
          <cell r="H426">
            <v>673955900</v>
          </cell>
          <cell r="I426">
            <v>685687500</v>
          </cell>
          <cell r="J426">
            <v>720575500</v>
          </cell>
          <cell r="K426">
            <v>690469500</v>
          </cell>
          <cell r="L426">
            <v>638940100</v>
          </cell>
          <cell r="M426">
            <v>624087200</v>
          </cell>
          <cell r="N426">
            <v>632359900</v>
          </cell>
          <cell r="O426">
            <v>726667100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189798</v>
          </cell>
          <cell r="O99">
            <v>223965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1351948900</v>
          </cell>
          <cell r="O146">
            <v>1582020700</v>
          </cell>
        </row>
      </sheetData>
      <sheetData sheetId="30" refreshError="1"/>
      <sheetData sheetId="31" refreshError="1">
        <row r="99">
          <cell r="C99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91790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633225900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ajes (1)"/>
    </sheetNames>
    <sheetDataSet>
      <sheetData sheetId="0">
        <row r="1">
          <cell r="A1" t="str">
            <v>nombre</v>
          </cell>
          <cell r="B1" t="str">
            <v>X</v>
          </cell>
          <cell r="C1" t="str">
            <v>Y</v>
          </cell>
          <cell r="D1" t="str">
            <v>objectid</v>
          </cell>
        </row>
        <row r="2">
          <cell r="A2" t="str">
            <v>ACAPULCO</v>
          </cell>
          <cell r="B2">
            <v>-75.858869310000003</v>
          </cell>
          <cell r="C2">
            <v>4.9990488160000002</v>
          </cell>
          <cell r="D2">
            <v>3846</v>
          </cell>
        </row>
        <row r="3">
          <cell r="A3" t="str">
            <v>AGUAS NEGRAS</v>
          </cell>
          <cell r="B3">
            <v>-73.952462159999996</v>
          </cell>
          <cell r="C3">
            <v>6.6453264760000001</v>
          </cell>
          <cell r="D3">
            <v>3937</v>
          </cell>
        </row>
        <row r="4">
          <cell r="A4" t="str">
            <v>ALBARRACIN</v>
          </cell>
          <cell r="B4">
            <v>-73.583519179999996</v>
          </cell>
          <cell r="C4">
            <v>5.2904608299999998</v>
          </cell>
          <cell r="D4">
            <v>3935</v>
          </cell>
        </row>
        <row r="5">
          <cell r="A5" t="str">
            <v>ALTAMIRA</v>
          </cell>
          <cell r="B5">
            <v>-75.700592740000005</v>
          </cell>
          <cell r="C5">
            <v>2.142914046</v>
          </cell>
          <cell r="D5">
            <v>3816</v>
          </cell>
        </row>
        <row r="6">
          <cell r="A6" t="str">
            <v>ALTO PINO</v>
          </cell>
          <cell r="B6">
            <v>-72.542352059999999</v>
          </cell>
          <cell r="C6">
            <v>11.44487365</v>
          </cell>
          <cell r="D6">
            <v>3818</v>
          </cell>
        </row>
        <row r="7">
          <cell r="A7" t="str">
            <v>ALVARADO</v>
          </cell>
          <cell r="B7">
            <v>-74.991632440000004</v>
          </cell>
          <cell r="C7">
            <v>4.5075988560000004</v>
          </cell>
          <cell r="D7">
            <v>3983</v>
          </cell>
        </row>
        <row r="8">
          <cell r="A8" t="str">
            <v>AMAGA</v>
          </cell>
          <cell r="B8">
            <v>-75.659877100000003</v>
          </cell>
          <cell r="C8">
            <v>6.0469537610000001</v>
          </cell>
          <cell r="D8">
            <v>3822</v>
          </cell>
        </row>
        <row r="9">
          <cell r="A9" t="str">
            <v>ANDES</v>
          </cell>
          <cell r="B9">
            <v>-74.033073430000002</v>
          </cell>
          <cell r="C9">
            <v>4.8301201020000004</v>
          </cell>
          <cell r="D9">
            <v>3951</v>
          </cell>
        </row>
        <row r="10">
          <cell r="A10" t="str">
            <v>ARANGUANEY</v>
          </cell>
          <cell r="B10">
            <v>-72.305021640000007</v>
          </cell>
          <cell r="C10">
            <v>5.4109887270000003</v>
          </cell>
          <cell r="D10">
            <v>3799</v>
          </cell>
        </row>
        <row r="11">
          <cell r="A11" t="str">
            <v>ARCABUCO</v>
          </cell>
          <cell r="B11">
            <v>-73.477619939999997</v>
          </cell>
          <cell r="C11">
            <v>5.7950246569999999</v>
          </cell>
          <cell r="D11">
            <v>3896</v>
          </cell>
        </row>
        <row r="12">
          <cell r="A12" t="str">
            <v>BAYUNCA</v>
          </cell>
          <cell r="B12">
            <v>-75.365165950000005</v>
          </cell>
          <cell r="C12">
            <v>10.546969410000001</v>
          </cell>
          <cell r="D12">
            <v>3803</v>
          </cell>
        </row>
        <row r="13">
          <cell r="A13" t="str">
            <v>BAZURTO  (MANGA)</v>
          </cell>
          <cell r="B13">
            <v>-75.526546589999995</v>
          </cell>
          <cell r="C13">
            <v>10.40678505</v>
          </cell>
          <cell r="D13">
            <v>3882</v>
          </cell>
        </row>
        <row r="14">
          <cell r="A14" t="str">
            <v>BETANIA</v>
          </cell>
          <cell r="B14">
            <v>-76.253383159999998</v>
          </cell>
          <cell r="C14">
            <v>3.9720407190000002</v>
          </cell>
          <cell r="D14">
            <v>3927</v>
          </cell>
        </row>
        <row r="15">
          <cell r="A15" t="str">
            <v>BICENTENARIO</v>
          </cell>
          <cell r="B15">
            <v>-74.684617349999996</v>
          </cell>
          <cell r="C15">
            <v>5.2031029359999996</v>
          </cell>
          <cell r="D15">
            <v>3847</v>
          </cell>
        </row>
        <row r="16">
          <cell r="A16" t="str">
            <v>BRISAS</v>
          </cell>
          <cell r="B16">
            <v>-74.743283039999994</v>
          </cell>
          <cell r="C16">
            <v>5.3001394380000004</v>
          </cell>
          <cell r="D16">
            <v>8405</v>
          </cell>
        </row>
        <row r="17">
          <cell r="A17" t="str">
            <v>CABILDO</v>
          </cell>
          <cell r="B17">
            <v>-75.423661440000004</v>
          </cell>
          <cell r="C17">
            <v>6.3957965149999998</v>
          </cell>
          <cell r="D17">
            <v>3878</v>
          </cell>
        </row>
        <row r="18">
          <cell r="A18" t="str">
            <v>CAIMANERA</v>
          </cell>
          <cell r="B18">
            <v>-75.606505999999996</v>
          </cell>
          <cell r="C18">
            <v>9.4656769999999995</v>
          </cell>
          <cell r="D18">
            <v>3934</v>
          </cell>
        </row>
        <row r="19">
          <cell r="A19" t="str">
            <v>CAIQUEROS</v>
          </cell>
          <cell r="B19">
            <v>-74.414294690000006</v>
          </cell>
          <cell r="C19">
            <v>5.0654696030000004</v>
          </cell>
          <cell r="D19">
            <v>3868</v>
          </cell>
        </row>
        <row r="20">
          <cell r="A20" t="str">
            <v>CAJAMARCA</v>
          </cell>
          <cell r="B20">
            <v>-75.502565610000005</v>
          </cell>
          <cell r="C20">
            <v>4.4358217729999998</v>
          </cell>
          <cell r="D20">
            <v>3985</v>
          </cell>
        </row>
        <row r="21">
          <cell r="A21" t="str">
            <v>CALAMAR</v>
          </cell>
          <cell r="B21">
            <v>-74.944995460000001</v>
          </cell>
          <cell r="C21">
            <v>10.20812679</v>
          </cell>
          <cell r="D21">
            <v>3950</v>
          </cell>
        </row>
        <row r="22">
          <cell r="A22" t="str">
            <v>CAMBAO</v>
          </cell>
          <cell r="B22">
            <v>-74.703815539999994</v>
          </cell>
          <cell r="C22">
            <v>5.0924488400000003</v>
          </cell>
          <cell r="D22">
            <v>3987</v>
          </cell>
        </row>
        <row r="23">
          <cell r="A23" t="str">
            <v>CANO</v>
          </cell>
          <cell r="B23">
            <v>-77.284452439999995</v>
          </cell>
          <cell r="C23">
            <v>1.425456082</v>
          </cell>
          <cell r="D23">
            <v>3862</v>
          </cell>
        </row>
        <row r="24">
          <cell r="A24" t="str">
            <v>CARIMAGUA</v>
          </cell>
          <cell r="B24">
            <v>-75.484821100000005</v>
          </cell>
          <cell r="C24">
            <v>8.6048561120000002</v>
          </cell>
          <cell r="D24">
            <v>3821</v>
          </cell>
        </row>
        <row r="25">
          <cell r="A25" t="str">
            <v>CASABLANCA</v>
          </cell>
          <cell r="B25">
            <v>-73.912827739999997</v>
          </cell>
          <cell r="C25">
            <v>5.1043941940000002</v>
          </cell>
          <cell r="D25">
            <v>3990</v>
          </cell>
        </row>
        <row r="26">
          <cell r="A26" t="str">
            <v>CASETABLA</v>
          </cell>
          <cell r="B26">
            <v>-72.834788840000002</v>
          </cell>
          <cell r="C26">
            <v>4.1126546169999996</v>
          </cell>
          <cell r="D26">
            <v>3876</v>
          </cell>
        </row>
        <row r="27">
          <cell r="A27" t="str">
            <v>CEBALLOS</v>
          </cell>
          <cell r="B27">
            <v>-75.505922179999999</v>
          </cell>
          <cell r="C27">
            <v>10.38301611</v>
          </cell>
          <cell r="D27">
            <v>3881</v>
          </cell>
        </row>
        <row r="28">
          <cell r="A28" t="str">
            <v>CENCAR</v>
          </cell>
          <cell r="B28">
            <v>-76.462570729999996</v>
          </cell>
          <cell r="C28">
            <v>3.5573834780000002</v>
          </cell>
          <cell r="D28">
            <v>5604</v>
          </cell>
        </row>
        <row r="29">
          <cell r="A29" t="str">
            <v>CERRITOS II</v>
          </cell>
          <cell r="B29">
            <v>-75.859962859999996</v>
          </cell>
          <cell r="C29">
            <v>4.7934082089999999</v>
          </cell>
          <cell r="D29">
            <v>3919</v>
          </cell>
        </row>
        <row r="30">
          <cell r="A30" t="str">
            <v>CHICORAL</v>
          </cell>
          <cell r="B30">
            <v>-74.880484370000005</v>
          </cell>
          <cell r="C30">
            <v>4.2455258220000003</v>
          </cell>
          <cell r="D30">
            <v>3923</v>
          </cell>
        </row>
        <row r="31">
          <cell r="A31" t="str">
            <v>CHINAUTA</v>
          </cell>
          <cell r="B31">
            <v>-74.50010709</v>
          </cell>
          <cell r="C31">
            <v>4.2693783989999998</v>
          </cell>
          <cell r="D31">
            <v>3991</v>
          </cell>
        </row>
        <row r="32">
          <cell r="A32" t="str">
            <v>CHUSACA</v>
          </cell>
          <cell r="B32">
            <v>-74.271821380000006</v>
          </cell>
          <cell r="C32">
            <v>4.5375335979999996</v>
          </cell>
          <cell r="D32">
            <v>3815</v>
          </cell>
        </row>
        <row r="33">
          <cell r="A33" t="str">
            <v>CIAT</v>
          </cell>
          <cell r="B33">
            <v>-76.343163730000001</v>
          </cell>
          <cell r="C33">
            <v>3.523539983</v>
          </cell>
          <cell r="D33">
            <v>5204</v>
          </cell>
        </row>
        <row r="34">
          <cell r="A34" t="str">
            <v>CIRCASIA</v>
          </cell>
          <cell r="B34">
            <v>-75.606108719999995</v>
          </cell>
          <cell r="C34">
            <v>4.6983558390000004</v>
          </cell>
          <cell r="D34">
            <v>3866</v>
          </cell>
        </row>
        <row r="35">
          <cell r="A35" t="str">
            <v>CIRILO</v>
          </cell>
          <cell r="B35">
            <v>-76.74413654</v>
          </cell>
          <cell r="C35">
            <v>8.2100277899999998</v>
          </cell>
          <cell r="D35">
            <v>10406</v>
          </cell>
        </row>
        <row r="36">
          <cell r="A36" t="str">
            <v>CISNEROS</v>
          </cell>
          <cell r="B36">
            <v>-75.07477738</v>
          </cell>
          <cell r="C36">
            <v>6.5363303149999998</v>
          </cell>
          <cell r="D36">
            <v>3961</v>
          </cell>
        </row>
        <row r="37">
          <cell r="A37" t="str">
            <v>COCORNA</v>
          </cell>
          <cell r="B37">
            <v>-75.243039629999998</v>
          </cell>
          <cell r="C37">
            <v>6.1246070980000002</v>
          </cell>
          <cell r="D37">
            <v>3861</v>
          </cell>
        </row>
        <row r="38">
          <cell r="A38" t="str">
            <v>COROZAL</v>
          </cell>
          <cell r="B38">
            <v>-75.899870739999997</v>
          </cell>
          <cell r="C38">
            <v>4.4079603970000001</v>
          </cell>
          <cell r="D38">
            <v>3840</v>
          </cell>
        </row>
        <row r="39">
          <cell r="A39" t="str">
            <v>CORRALITO DE PIEDRA</v>
          </cell>
          <cell r="B39">
            <v>-75.485086789999997</v>
          </cell>
          <cell r="C39">
            <v>10.309658710000001</v>
          </cell>
          <cell r="D39">
            <v>3806</v>
          </cell>
        </row>
        <row r="40">
          <cell r="A40" t="str">
            <v>CORREDOR PORTUARIO</v>
          </cell>
          <cell r="B40">
            <v>-74.766759399999998</v>
          </cell>
          <cell r="C40">
            <v>10.95782386</v>
          </cell>
          <cell r="D40">
            <v>4004</v>
          </cell>
        </row>
        <row r="41">
          <cell r="A41" t="str">
            <v>DAZA</v>
          </cell>
          <cell r="B41">
            <v>-77.269496509999996</v>
          </cell>
          <cell r="C41">
            <v>1.2821593769999999</v>
          </cell>
          <cell r="D41">
            <v>3865</v>
          </cell>
        </row>
        <row r="42">
          <cell r="A42" t="str">
            <v>EBEJICO</v>
          </cell>
          <cell r="B42">
            <v>-75.671344540000007</v>
          </cell>
          <cell r="C42">
            <v>6.3386033409999998</v>
          </cell>
          <cell r="D42">
            <v>3825</v>
          </cell>
        </row>
        <row r="43">
          <cell r="A43" t="str">
            <v>EL BOQUERON I</v>
          </cell>
          <cell r="B43">
            <v>-74.073379750000001</v>
          </cell>
          <cell r="C43">
            <v>4.4525400529999999</v>
          </cell>
          <cell r="D43">
            <v>3910</v>
          </cell>
        </row>
        <row r="44">
          <cell r="A44" t="str">
            <v>EL BORDO</v>
          </cell>
          <cell r="B44">
            <v>-76.851164690000004</v>
          </cell>
          <cell r="C44">
            <v>2.1889494599999999</v>
          </cell>
          <cell r="D44">
            <v>3975</v>
          </cell>
        </row>
        <row r="45">
          <cell r="A45" t="str">
            <v>EL CARMEN</v>
          </cell>
          <cell r="B45">
            <v>-75.125421059999994</v>
          </cell>
          <cell r="C45">
            <v>9.6813003230000003</v>
          </cell>
          <cell r="D45">
            <v>3849</v>
          </cell>
        </row>
        <row r="46">
          <cell r="A46" t="str">
            <v>EL CERRITO</v>
          </cell>
          <cell r="B46">
            <v>-76.319161309999998</v>
          </cell>
          <cell r="C46">
            <v>3.7130961569999998</v>
          </cell>
          <cell r="D46">
            <v>5605</v>
          </cell>
        </row>
        <row r="47">
          <cell r="A47" t="str">
            <v>EL COPEY</v>
          </cell>
          <cell r="B47">
            <v>-73.923828869999994</v>
          </cell>
          <cell r="C47">
            <v>10.0603631</v>
          </cell>
          <cell r="D47">
            <v>3809</v>
          </cell>
        </row>
        <row r="48">
          <cell r="A48" t="str">
            <v>EL CORZO</v>
          </cell>
          <cell r="B48">
            <v>-74.291165129999996</v>
          </cell>
          <cell r="C48">
            <v>4.7486787909999997</v>
          </cell>
          <cell r="D48">
            <v>3966</v>
          </cell>
        </row>
        <row r="49">
          <cell r="A49" t="str">
            <v>EL CRUCERO</v>
          </cell>
          <cell r="B49">
            <v>-72.926973050000001</v>
          </cell>
          <cell r="C49">
            <v>5.6570141200000004</v>
          </cell>
          <cell r="D49">
            <v>3875</v>
          </cell>
        </row>
        <row r="50">
          <cell r="A50" t="str">
            <v>EL DIFICIL</v>
          </cell>
          <cell r="B50">
            <v>-74.267750800000002</v>
          </cell>
          <cell r="C50">
            <v>9.8311466450000005</v>
          </cell>
          <cell r="D50">
            <v>3827</v>
          </cell>
        </row>
        <row r="51">
          <cell r="A51" t="str">
            <v>EL EBANAL</v>
          </cell>
          <cell r="B51">
            <v>-73.122107779999993</v>
          </cell>
          <cell r="C51">
            <v>11.27621663</v>
          </cell>
          <cell r="D51">
            <v>3845</v>
          </cell>
        </row>
        <row r="52">
          <cell r="A52" t="str">
            <v>EL ESCOBAL</v>
          </cell>
          <cell r="B52">
            <v>-72.469450019999996</v>
          </cell>
          <cell r="C52">
            <v>7.91059804</v>
          </cell>
          <cell r="D52">
            <v>3833</v>
          </cell>
        </row>
        <row r="53">
          <cell r="A53" t="str">
            <v>EL KORAN</v>
          </cell>
          <cell r="B53">
            <v>-74.613729590000005</v>
          </cell>
          <cell r="C53">
            <v>5.4971317040000001</v>
          </cell>
          <cell r="D53">
            <v>3852</v>
          </cell>
        </row>
        <row r="54">
          <cell r="A54" t="str">
            <v>EL PATA</v>
          </cell>
          <cell r="B54">
            <v>-75.203733479999997</v>
          </cell>
          <cell r="C54">
            <v>3.393809788</v>
          </cell>
          <cell r="D54">
            <v>3946</v>
          </cell>
        </row>
        <row r="55">
          <cell r="A55" t="str">
            <v>EL PLACER</v>
          </cell>
          <cell r="B55">
            <v>-77.408655199999998</v>
          </cell>
          <cell r="C55">
            <v>1.0872841019999999</v>
          </cell>
          <cell r="D55">
            <v>3918</v>
          </cell>
        </row>
        <row r="56">
          <cell r="A56" t="str">
            <v>EL ROBLE</v>
          </cell>
          <cell r="B56">
            <v>-73.839840600000002</v>
          </cell>
          <cell r="C56">
            <v>5.0312988509999998</v>
          </cell>
          <cell r="D56">
            <v>3826</v>
          </cell>
        </row>
        <row r="57">
          <cell r="A57" t="str">
            <v>EL TORO</v>
          </cell>
          <cell r="B57">
            <v>-76.049532450000001</v>
          </cell>
          <cell r="C57">
            <v>4.6654249769999998</v>
          </cell>
          <cell r="D57">
            <v>3872</v>
          </cell>
        </row>
        <row r="58">
          <cell r="A58" t="str">
            <v>El YUCAO</v>
          </cell>
          <cell r="B58">
            <v>-72.169253299999994</v>
          </cell>
          <cell r="C58">
            <v>4.3513174689999996</v>
          </cell>
          <cell r="D58">
            <v>3859</v>
          </cell>
        </row>
        <row r="59">
          <cell r="A59" t="str">
            <v>ESTAMBUL</v>
          </cell>
          <cell r="B59">
            <v>-76.44302716</v>
          </cell>
          <cell r="C59">
            <v>3.5007221990000001</v>
          </cell>
          <cell r="D59">
            <v>4804</v>
          </cell>
        </row>
        <row r="60">
          <cell r="A60" t="str">
            <v>FLANDES</v>
          </cell>
          <cell r="B60">
            <v>-74.861086499999999</v>
          </cell>
          <cell r="C60">
            <v>4.1921731070000003</v>
          </cell>
          <cell r="D60">
            <v>3844</v>
          </cell>
        </row>
        <row r="61">
          <cell r="A61" t="str">
            <v>FUSCA</v>
          </cell>
          <cell r="B61">
            <v>-74.028809749999994</v>
          </cell>
          <cell r="C61">
            <v>4.8354496730000003</v>
          </cell>
          <cell r="D61">
            <v>3871</v>
          </cell>
        </row>
        <row r="62">
          <cell r="A62" t="str">
            <v>GALAPA</v>
          </cell>
          <cell r="B62">
            <v>-74.902127699999994</v>
          </cell>
          <cell r="C62">
            <v>10.83754487</v>
          </cell>
          <cell r="D62">
            <v>3805</v>
          </cell>
        </row>
        <row r="63">
          <cell r="A63" t="str">
            <v>GAMARRA</v>
          </cell>
          <cell r="B63">
            <v>-73.692049139999995</v>
          </cell>
          <cell r="C63">
            <v>8.3291196460000005</v>
          </cell>
          <cell r="D63">
            <v>3890</v>
          </cell>
        </row>
        <row r="64">
          <cell r="A64" t="str">
            <v>GAMBOTE</v>
          </cell>
          <cell r="B64">
            <v>-75.264289759999997</v>
          </cell>
          <cell r="C64">
            <v>10.136133129999999</v>
          </cell>
          <cell r="D64">
            <v>3917</v>
          </cell>
        </row>
        <row r="65">
          <cell r="A65" t="str">
            <v>GUALANDAY</v>
          </cell>
          <cell r="B65">
            <v>-75.050032909999999</v>
          </cell>
          <cell r="C65">
            <v>4.3004287970000004</v>
          </cell>
          <cell r="D65">
            <v>3814</v>
          </cell>
        </row>
        <row r="66">
          <cell r="A66" t="str">
            <v>GUARNE</v>
          </cell>
          <cell r="B66">
            <v>-75.515675049999999</v>
          </cell>
          <cell r="C66">
            <v>6.3278978050000001</v>
          </cell>
          <cell r="D66">
            <v>3858</v>
          </cell>
        </row>
        <row r="67">
          <cell r="A67" t="str">
            <v>GUATAQUI</v>
          </cell>
          <cell r="B67">
            <v>-74.789048930000007</v>
          </cell>
          <cell r="C67">
            <v>4.5287368580000003</v>
          </cell>
          <cell r="D67">
            <v>6404</v>
          </cell>
        </row>
        <row r="68">
          <cell r="A68" t="str">
            <v>GUAYABAL</v>
          </cell>
          <cell r="B68">
            <v>-74.483185399999996</v>
          </cell>
          <cell r="C68">
            <v>4.8834130760000001</v>
          </cell>
          <cell r="D68">
            <v>3962</v>
          </cell>
        </row>
        <row r="69">
          <cell r="A69" t="str">
            <v>HONDA</v>
          </cell>
          <cell r="B69">
            <v>-74.820344509999998</v>
          </cell>
          <cell r="C69">
            <v>5.2015074690000001</v>
          </cell>
          <cell r="D69">
            <v>3940</v>
          </cell>
        </row>
        <row r="70">
          <cell r="A70" t="str">
            <v>IRACA</v>
          </cell>
          <cell r="B70">
            <v>-73.706400110000004</v>
          </cell>
          <cell r="C70">
            <v>3.6330427570000001</v>
          </cell>
          <cell r="D70">
            <v>3970</v>
          </cell>
        </row>
        <row r="71">
          <cell r="A71" t="str">
            <v>JALISCO</v>
          </cell>
          <cell r="B71">
            <v>-74.42616787</v>
          </cell>
          <cell r="C71">
            <v>4.9013557030000001</v>
          </cell>
          <cell r="D71">
            <v>3898</v>
          </cell>
        </row>
        <row r="72">
          <cell r="A72" t="str">
            <v>JUAN MINA</v>
          </cell>
          <cell r="B72">
            <v>-74.898251189999996</v>
          </cell>
          <cell r="C72">
            <v>10.934382279999999</v>
          </cell>
          <cell r="D72">
            <v>10006</v>
          </cell>
        </row>
        <row r="73">
          <cell r="A73" t="str">
            <v>LA APARTADA</v>
          </cell>
          <cell r="B73">
            <v>-75.301719629999994</v>
          </cell>
          <cell r="C73">
            <v>8.0312806059999993</v>
          </cell>
          <cell r="D73">
            <v>3945</v>
          </cell>
        </row>
        <row r="74">
          <cell r="A74" t="str">
            <v>LA CABAÑA</v>
          </cell>
          <cell r="B74">
            <v>-73.945532869999994</v>
          </cell>
          <cell r="C74">
            <v>4.8095321359999996</v>
          </cell>
          <cell r="D74">
            <v>3850</v>
          </cell>
        </row>
        <row r="75">
          <cell r="A75" t="str">
            <v>LA ESPERANZA</v>
          </cell>
          <cell r="B75">
            <v>-75.435949550000004</v>
          </cell>
          <cell r="C75">
            <v>9.4307451960000002</v>
          </cell>
          <cell r="D75">
            <v>3819</v>
          </cell>
        </row>
        <row r="76">
          <cell r="A76" t="str">
            <v>LA ESTRELLA</v>
          </cell>
          <cell r="B76">
            <v>-75.505280330000005</v>
          </cell>
          <cell r="C76">
            <v>5.12551851</v>
          </cell>
          <cell r="D76">
            <v>3900</v>
          </cell>
        </row>
        <row r="77">
          <cell r="A77" t="str">
            <v>LA GOMEZ</v>
          </cell>
          <cell r="B77">
            <v>-73.546519200000006</v>
          </cell>
          <cell r="C77">
            <v>7.3971759669999999</v>
          </cell>
          <cell r="D77">
            <v>3800</v>
          </cell>
        </row>
        <row r="78">
          <cell r="A78" t="str">
            <v>LA HEROICA</v>
          </cell>
          <cell r="B78">
            <v>-75.490621140000002</v>
          </cell>
          <cell r="C78">
            <v>10.342343509999999</v>
          </cell>
          <cell r="D78">
            <v>3905</v>
          </cell>
        </row>
        <row r="79">
          <cell r="A79" t="str">
            <v>LA LIBERTAD</v>
          </cell>
          <cell r="B79">
            <v>-73.463982939999994</v>
          </cell>
          <cell r="C79">
            <v>4.0568599619999999</v>
          </cell>
          <cell r="D79">
            <v>3922</v>
          </cell>
        </row>
        <row r="80">
          <cell r="A80" t="str">
            <v>LA LOMA</v>
          </cell>
          <cell r="B80">
            <v>-73.639398380000003</v>
          </cell>
          <cell r="C80">
            <v>9.6380165170000005</v>
          </cell>
          <cell r="D80">
            <v>3801</v>
          </cell>
        </row>
        <row r="81">
          <cell r="A81" t="str">
            <v>LA NEVERA</v>
          </cell>
          <cell r="B81">
            <v>-72.206138269999997</v>
          </cell>
          <cell r="C81">
            <v>5.5249105890000001</v>
          </cell>
          <cell r="D81">
            <v>3984</v>
          </cell>
        </row>
        <row r="82">
          <cell r="A82" t="str">
            <v>LA PARADA</v>
          </cell>
          <cell r="B82">
            <v>-72.484164640000003</v>
          </cell>
          <cell r="C82">
            <v>7.8674564719999998</v>
          </cell>
          <cell r="D82">
            <v>3969</v>
          </cell>
        </row>
        <row r="83">
          <cell r="A83" t="str">
            <v>LA PINTADA</v>
          </cell>
          <cell r="B83">
            <v>-75.627285959999995</v>
          </cell>
          <cell r="C83">
            <v>5.7494653590000002</v>
          </cell>
          <cell r="D83">
            <v>3811</v>
          </cell>
        </row>
        <row r="84">
          <cell r="A84" t="str">
            <v>LA TEBAIDA</v>
          </cell>
          <cell r="B84">
            <v>-74.171477240000002</v>
          </cell>
          <cell r="C84">
            <v>4.7446243429999999</v>
          </cell>
          <cell r="D84">
            <v>3911</v>
          </cell>
        </row>
        <row r="85">
          <cell r="A85" t="str">
            <v>LA URIBE</v>
          </cell>
          <cell r="B85">
            <v>-76.118437529999994</v>
          </cell>
          <cell r="C85">
            <v>4.2524682509999998</v>
          </cell>
          <cell r="D85">
            <v>3988</v>
          </cell>
        </row>
        <row r="86">
          <cell r="A86" t="str">
            <v>LAS FLORES</v>
          </cell>
          <cell r="B86">
            <v>-75.319953819999995</v>
          </cell>
          <cell r="C86">
            <v>9.318846937</v>
          </cell>
          <cell r="D86">
            <v>3867</v>
          </cell>
        </row>
        <row r="87">
          <cell r="A87" t="str">
            <v>LAS PALMAS</v>
          </cell>
          <cell r="B87">
            <v>-75.531257389999993</v>
          </cell>
          <cell r="C87">
            <v>6.150673018</v>
          </cell>
          <cell r="D87">
            <v>3932</v>
          </cell>
        </row>
        <row r="88">
          <cell r="A88" t="str">
            <v>LAUREANO GOMEZ</v>
          </cell>
          <cell r="B88">
            <v>-74.729718980000001</v>
          </cell>
          <cell r="C88">
            <v>10.97871917</v>
          </cell>
          <cell r="D88">
            <v>3843</v>
          </cell>
        </row>
        <row r="89">
          <cell r="A89" t="str">
            <v>LEBRIJA</v>
          </cell>
          <cell r="B89">
            <v>-73.188611600000002</v>
          </cell>
          <cell r="C89">
            <v>7.1031271169999997</v>
          </cell>
          <cell r="D89">
            <v>7205</v>
          </cell>
        </row>
        <row r="90">
          <cell r="A90" t="str">
            <v>LOBOGUERRERO</v>
          </cell>
          <cell r="B90">
            <v>-76.665570599999995</v>
          </cell>
          <cell r="C90">
            <v>3.7629703210000001</v>
          </cell>
          <cell r="D90">
            <v>3980</v>
          </cell>
        </row>
        <row r="91">
          <cell r="A91" t="str">
            <v>LOS ACACIOS</v>
          </cell>
          <cell r="B91">
            <v>-72.571317010000001</v>
          </cell>
          <cell r="C91">
            <v>7.7213820799999997</v>
          </cell>
          <cell r="D91">
            <v>3930</v>
          </cell>
        </row>
        <row r="92">
          <cell r="A92" t="str">
            <v>LOS CAUCHOS</v>
          </cell>
          <cell r="B92">
            <v>-75.301936089999998</v>
          </cell>
          <cell r="C92">
            <v>2.7855837970000001</v>
          </cell>
          <cell r="D92">
            <v>3857</v>
          </cell>
        </row>
        <row r="93">
          <cell r="A93" t="str">
            <v>LOS CEDROS</v>
          </cell>
          <cell r="B93">
            <v>-75.998898010000005</v>
          </cell>
          <cell r="C93">
            <v>8.819768367</v>
          </cell>
          <cell r="D93">
            <v>3830</v>
          </cell>
        </row>
        <row r="94">
          <cell r="A94" t="str">
            <v>LOS CUROS</v>
          </cell>
          <cell r="B94">
            <v>-72.999481869999997</v>
          </cell>
          <cell r="C94">
            <v>6.8256343670000001</v>
          </cell>
          <cell r="D94">
            <v>3817</v>
          </cell>
        </row>
        <row r="95">
          <cell r="A95" t="str">
            <v>LOS GARZONES 1</v>
          </cell>
          <cell r="B95">
            <v>-75.826846340000003</v>
          </cell>
          <cell r="C95">
            <v>8.8422099149999998</v>
          </cell>
          <cell r="D95">
            <v>3968</v>
          </cell>
        </row>
        <row r="96">
          <cell r="A96" t="str">
            <v>LOS GARZONES 2</v>
          </cell>
          <cell r="B96">
            <v>-75.836760999999996</v>
          </cell>
          <cell r="C96">
            <v>8.8277830000000002</v>
          </cell>
          <cell r="D96">
            <v>3999</v>
          </cell>
        </row>
        <row r="97">
          <cell r="A97" t="str">
            <v>LOS LLANOS</v>
          </cell>
          <cell r="B97">
            <v>-75.468140399999996</v>
          </cell>
          <cell r="C97">
            <v>6.8305024809999999</v>
          </cell>
          <cell r="D97">
            <v>3848</v>
          </cell>
        </row>
        <row r="98">
          <cell r="A98" t="str">
            <v>LOS MANGUITOS</v>
          </cell>
          <cell r="B98">
            <v>-75.530098749999993</v>
          </cell>
          <cell r="C98">
            <v>8.3015721940000002</v>
          </cell>
          <cell r="D98">
            <v>3976</v>
          </cell>
        </row>
        <row r="99">
          <cell r="A99" t="str">
            <v>LOS PATIOS</v>
          </cell>
          <cell r="B99">
            <v>-74.010579179999993</v>
          </cell>
          <cell r="C99">
            <v>4.6637245140000001</v>
          </cell>
          <cell r="D99">
            <v>3851</v>
          </cell>
        </row>
        <row r="100">
          <cell r="A100" t="str">
            <v>LOS SANTOS</v>
          </cell>
          <cell r="B100">
            <v>-73.034207319999993</v>
          </cell>
          <cell r="C100">
            <v>6.9173779140000002</v>
          </cell>
          <cell r="D100">
            <v>3895</v>
          </cell>
        </row>
        <row r="101">
          <cell r="A101" t="str">
            <v>MACHETA</v>
          </cell>
          <cell r="B101">
            <v>-73.553427999999997</v>
          </cell>
          <cell r="C101">
            <v>5.0772629839999999</v>
          </cell>
          <cell r="D101">
            <v>3810</v>
          </cell>
        </row>
        <row r="102">
          <cell r="A102" t="str">
            <v>MARAHUACO</v>
          </cell>
          <cell r="B102">
            <v>-75.450559220000002</v>
          </cell>
          <cell r="C102">
            <v>10.574535060000001</v>
          </cell>
          <cell r="D102">
            <v>3904</v>
          </cell>
        </row>
        <row r="103">
          <cell r="A103" t="str">
            <v>MATA DE CAÑA</v>
          </cell>
          <cell r="B103">
            <v>-75.819879479999997</v>
          </cell>
          <cell r="C103">
            <v>9.0914256669999993</v>
          </cell>
          <cell r="D103">
            <v>3938</v>
          </cell>
        </row>
        <row r="104">
          <cell r="A104" t="str">
            <v>MEDIACANOA</v>
          </cell>
          <cell r="B104">
            <v>-76.411386300000004</v>
          </cell>
          <cell r="C104">
            <v>3.7599859329999998</v>
          </cell>
          <cell r="D104">
            <v>5606</v>
          </cell>
        </row>
        <row r="105">
          <cell r="A105" t="str">
            <v>MONDOÑEDO</v>
          </cell>
          <cell r="B105">
            <v>-74.29408445</v>
          </cell>
          <cell r="C105">
            <v>4.6383484619999997</v>
          </cell>
          <cell r="D105">
            <v>3887</v>
          </cell>
        </row>
        <row r="106">
          <cell r="A106" t="str">
            <v>MORRISON</v>
          </cell>
          <cell r="B106">
            <v>-73.56001492</v>
          </cell>
          <cell r="C106">
            <v>8.0923487299999994</v>
          </cell>
          <cell r="D106">
            <v>3995</v>
          </cell>
        </row>
        <row r="107">
          <cell r="A107" t="str">
            <v>NEIVA</v>
          </cell>
          <cell r="B107">
            <v>-75.307226319999998</v>
          </cell>
          <cell r="C107">
            <v>2.9777979499999998</v>
          </cell>
          <cell r="D107">
            <v>3854</v>
          </cell>
        </row>
        <row r="108">
          <cell r="A108" t="str">
            <v>NENGUANJE</v>
          </cell>
          <cell r="B108">
            <v>-74.109282460000003</v>
          </cell>
          <cell r="C108">
            <v>11.253129360000001</v>
          </cell>
          <cell r="D108">
            <v>3863</v>
          </cell>
        </row>
        <row r="109">
          <cell r="A109" t="str">
            <v>NIQUIA</v>
          </cell>
          <cell r="B109">
            <v>-75.526595510000007</v>
          </cell>
          <cell r="C109">
            <v>6.3451007500000003</v>
          </cell>
          <cell r="D109">
            <v>3965</v>
          </cell>
        </row>
        <row r="110">
          <cell r="A110" t="str">
            <v>OCOA</v>
          </cell>
          <cell r="B110">
            <v>-73.775205</v>
          </cell>
          <cell r="C110">
            <v>4.0262463009999996</v>
          </cell>
          <cell r="D110">
            <v>3853</v>
          </cell>
        </row>
        <row r="111">
          <cell r="A111" t="str">
            <v>OIBA</v>
          </cell>
          <cell r="B111">
            <v>-73.333289570000005</v>
          </cell>
          <cell r="C111">
            <v>6.1782364190000001</v>
          </cell>
          <cell r="D111">
            <v>3839</v>
          </cell>
        </row>
        <row r="112">
          <cell r="A112" t="str">
            <v>PAILITAS</v>
          </cell>
          <cell r="B112">
            <v>-73.669722160000006</v>
          </cell>
          <cell r="C112">
            <v>8.8528038539999994</v>
          </cell>
          <cell r="D112">
            <v>3802</v>
          </cell>
        </row>
        <row r="113">
          <cell r="A113" t="str">
            <v>PAJARITO</v>
          </cell>
          <cell r="B113">
            <v>-75.599368639999994</v>
          </cell>
          <cell r="C113">
            <v>6.3318020500000003</v>
          </cell>
          <cell r="D113">
            <v>3899</v>
          </cell>
        </row>
        <row r="114">
          <cell r="A114" t="str">
            <v>PALMITAS</v>
          </cell>
          <cell r="B114">
            <v>-75.688606559999997</v>
          </cell>
          <cell r="C114">
            <v>6.3263151129999997</v>
          </cell>
          <cell r="D114">
            <v>3824</v>
          </cell>
        </row>
        <row r="115">
          <cell r="A115" t="str">
            <v>PANDEQUESO</v>
          </cell>
          <cell r="B115">
            <v>-75.37861015</v>
          </cell>
          <cell r="C115">
            <v>6.4779977559999997</v>
          </cell>
          <cell r="D115">
            <v>3835</v>
          </cell>
        </row>
        <row r="116">
          <cell r="A116" t="str">
            <v>PAPIROS</v>
          </cell>
          <cell r="B116">
            <v>-74.889588090000004</v>
          </cell>
          <cell r="C116">
            <v>11.01269973</v>
          </cell>
          <cell r="D116">
            <v>3855</v>
          </cell>
        </row>
        <row r="117">
          <cell r="A117" t="str">
            <v>PARAGUACHON</v>
          </cell>
          <cell r="B117">
            <v>-72.156672670000006</v>
          </cell>
          <cell r="C117">
            <v>11.367603129999999</v>
          </cell>
          <cell r="D117">
            <v>3963</v>
          </cell>
        </row>
        <row r="118">
          <cell r="A118" t="str">
            <v>PASACABALLOS</v>
          </cell>
          <cell r="B118">
            <v>-75.443944759999994</v>
          </cell>
          <cell r="C118">
            <v>10.243425370000001</v>
          </cell>
          <cell r="D118">
            <v>4000</v>
          </cell>
        </row>
        <row r="119">
          <cell r="A119" t="str">
            <v>PASO DE LA TORRE</v>
          </cell>
          <cell r="B119">
            <v>-76.457670289999996</v>
          </cell>
          <cell r="C119">
            <v>3.6275982290000002</v>
          </cell>
          <cell r="D119">
            <v>5205</v>
          </cell>
        </row>
        <row r="120">
          <cell r="A120" t="str">
            <v>PAVAS (TRINIDAD I)</v>
          </cell>
          <cell r="B120">
            <v>-75.587391220000001</v>
          </cell>
          <cell r="C120">
            <v>5.0270532389999998</v>
          </cell>
          <cell r="D120">
            <v>3957</v>
          </cell>
        </row>
        <row r="121">
          <cell r="A121" t="str">
            <v>PEAJE NUEVO SALTO DE TEQUENDAMA</v>
          </cell>
          <cell r="B121">
            <v>-74.268470239999999</v>
          </cell>
          <cell r="C121">
            <v>4.5441314960000003</v>
          </cell>
          <cell r="D121">
            <v>3892</v>
          </cell>
        </row>
        <row r="122">
          <cell r="A122" t="str">
            <v>PICACHO</v>
          </cell>
          <cell r="B122">
            <v>-72.968963709999997</v>
          </cell>
          <cell r="C122">
            <v>7.1079936349999997</v>
          </cell>
          <cell r="D122">
            <v>3967</v>
          </cell>
        </row>
        <row r="123">
          <cell r="A123" t="str">
            <v>PIPIRAL</v>
          </cell>
          <cell r="B123">
            <v>-73.721288110000003</v>
          </cell>
          <cell r="C123">
            <v>4.2000627809999997</v>
          </cell>
          <cell r="D123">
            <v>3885</v>
          </cell>
        </row>
        <row r="124">
          <cell r="A124" t="str">
            <v>PLATANAL</v>
          </cell>
          <cell r="B124">
            <v>-73.498572339999996</v>
          </cell>
          <cell r="C124">
            <v>8.23123833</v>
          </cell>
          <cell r="D124">
            <v>3915</v>
          </cell>
        </row>
        <row r="125">
          <cell r="A125" t="str">
            <v>PUBENZA</v>
          </cell>
          <cell r="B125">
            <v>-74.731464340000002</v>
          </cell>
          <cell r="C125">
            <v>4.4033163899999996</v>
          </cell>
          <cell r="D125">
            <v>3912</v>
          </cell>
        </row>
        <row r="126">
          <cell r="A126" t="str">
            <v>PUENTE AMARILLO</v>
          </cell>
          <cell r="B126">
            <v>-73.596673580000001</v>
          </cell>
          <cell r="C126">
            <v>4.1941418050000001</v>
          </cell>
          <cell r="D126">
            <v>3925</v>
          </cell>
        </row>
        <row r="127">
          <cell r="A127" t="str">
            <v>PUENTE PLATO</v>
          </cell>
          <cell r="B127">
            <v>-74.808945069999993</v>
          </cell>
          <cell r="C127">
            <v>9.7913657290000007</v>
          </cell>
          <cell r="D127">
            <v>3941</v>
          </cell>
        </row>
        <row r="128">
          <cell r="A128" t="str">
            <v>PUENTE QUETAME (NARANJAL)</v>
          </cell>
          <cell r="B128">
            <v>-73.834767760000005</v>
          </cell>
          <cell r="C128">
            <v>4.2799340639999999</v>
          </cell>
          <cell r="D128">
            <v>3997</v>
          </cell>
        </row>
        <row r="129">
          <cell r="A129" t="str">
            <v>PUERTO BERRIO</v>
          </cell>
          <cell r="B129">
            <v>-74.50132825</v>
          </cell>
          <cell r="C129">
            <v>6.4966496620000003</v>
          </cell>
          <cell r="D129">
            <v>3952</v>
          </cell>
        </row>
        <row r="130">
          <cell r="A130" t="str">
            <v>PUERTO COLOMBIA</v>
          </cell>
          <cell r="B130">
            <v>-74.956105460000003</v>
          </cell>
          <cell r="C130">
            <v>10.96756325</v>
          </cell>
          <cell r="D130">
            <v>3939</v>
          </cell>
        </row>
        <row r="131">
          <cell r="A131" t="str">
            <v>PUERTO TRIUNFO</v>
          </cell>
          <cell r="B131">
            <v>-74.61139541</v>
          </cell>
          <cell r="C131">
            <v>5.8725989140000001</v>
          </cell>
          <cell r="D131">
            <v>3808</v>
          </cell>
        </row>
        <row r="132">
          <cell r="A132" t="str">
            <v>PUESTO DE CONTROL BOQUERON II</v>
          </cell>
          <cell r="B132">
            <v>-74.05008445</v>
          </cell>
          <cell r="C132">
            <v>4.4541707429999997</v>
          </cell>
          <cell r="D132">
            <v>3973</v>
          </cell>
        </row>
        <row r="133">
          <cell r="A133" t="str">
            <v>PURGATORIO</v>
          </cell>
          <cell r="B133">
            <v>-75.763769550000006</v>
          </cell>
          <cell r="C133">
            <v>8.6306594249999993</v>
          </cell>
          <cell r="D133">
            <v>3921</v>
          </cell>
        </row>
        <row r="134">
          <cell r="A134" t="str">
            <v>QUIEBRA DE VELEZ</v>
          </cell>
          <cell r="B134">
            <v>-75.555374470000004</v>
          </cell>
          <cell r="C134">
            <v>5.0942511460000004</v>
          </cell>
          <cell r="D134">
            <v>3933</v>
          </cell>
        </row>
        <row r="135">
          <cell r="A135" t="str">
            <v>RAMAL</v>
          </cell>
          <cell r="B135">
            <v>-74.289975429999998</v>
          </cell>
          <cell r="C135">
            <v>4.6273311880000003</v>
          </cell>
          <cell r="D135">
            <v>3886</v>
          </cell>
        </row>
        <row r="136">
          <cell r="A136" t="str">
            <v>RINCON HONDO</v>
          </cell>
          <cell r="B136">
            <v>-73.473552150000003</v>
          </cell>
          <cell r="C136">
            <v>9.4310320010000002</v>
          </cell>
          <cell r="D136">
            <v>3964</v>
          </cell>
        </row>
        <row r="137">
          <cell r="A137" t="str">
            <v>RIO BLANCO</v>
          </cell>
          <cell r="B137">
            <v>-73.231108120000002</v>
          </cell>
          <cell r="C137">
            <v>7.5543312870000001</v>
          </cell>
          <cell r="D137">
            <v>3823</v>
          </cell>
        </row>
        <row r="138">
          <cell r="A138" t="str">
            <v>RIO BOGOTA</v>
          </cell>
          <cell r="B138">
            <v>-74.179429409999997</v>
          </cell>
          <cell r="C138">
            <v>4.6985906010000003</v>
          </cell>
          <cell r="D138">
            <v>3974</v>
          </cell>
        </row>
        <row r="139">
          <cell r="A139" t="str">
            <v>RIO FRIO</v>
          </cell>
          <cell r="B139">
            <v>-76.279656189999997</v>
          </cell>
          <cell r="C139">
            <v>4.1491071679999996</v>
          </cell>
          <cell r="D139">
            <v>3873</v>
          </cell>
        </row>
        <row r="140">
          <cell r="A140" t="str">
            <v>RIO SOGAMOSO</v>
          </cell>
          <cell r="B140">
            <v>-73.440543759999997</v>
          </cell>
          <cell r="C140">
            <v>7.1182490429999996</v>
          </cell>
          <cell r="D140">
            <v>3972</v>
          </cell>
        </row>
        <row r="141">
          <cell r="A141" t="str">
            <v>RIONEGRO</v>
          </cell>
          <cell r="B141">
            <v>-73.14940378</v>
          </cell>
          <cell r="C141">
            <v>7.2432675260000003</v>
          </cell>
          <cell r="D141">
            <v>6805</v>
          </cell>
        </row>
        <row r="142">
          <cell r="A142" t="str">
            <v>ROZO</v>
          </cell>
          <cell r="B142">
            <v>-76.381156439999998</v>
          </cell>
          <cell r="C142">
            <v>3.6438522089999998</v>
          </cell>
          <cell r="D142">
            <v>6004</v>
          </cell>
        </row>
        <row r="143">
          <cell r="A143" t="str">
            <v>SABANAGRANDE</v>
          </cell>
          <cell r="B143">
            <v>-74.759005130000006</v>
          </cell>
          <cell r="C143">
            <v>10.79958164</v>
          </cell>
          <cell r="D143">
            <v>3874</v>
          </cell>
        </row>
        <row r="144">
          <cell r="A144" t="str">
            <v>SABOYA</v>
          </cell>
          <cell r="B144">
            <v>-73.744665879999999</v>
          </cell>
          <cell r="C144">
            <v>5.7278647960000004</v>
          </cell>
          <cell r="D144">
            <v>3953</v>
          </cell>
        </row>
        <row r="145">
          <cell r="A145" t="str">
            <v>SACHICA</v>
          </cell>
          <cell r="B145">
            <v>-73.50115778</v>
          </cell>
          <cell r="C145">
            <v>5.5576848759999997</v>
          </cell>
          <cell r="D145">
            <v>3884</v>
          </cell>
        </row>
        <row r="146">
          <cell r="A146" t="str">
            <v>SAN BERNARDO (TRINIDAD ll)</v>
          </cell>
          <cell r="B146">
            <v>-75.594581140000003</v>
          </cell>
          <cell r="C146">
            <v>5.0522056649999998</v>
          </cell>
          <cell r="D146">
            <v>3869</v>
          </cell>
        </row>
        <row r="147">
          <cell r="A147" t="str">
            <v>SAN CARLOS</v>
          </cell>
          <cell r="B147">
            <v>-75.742383149999995</v>
          </cell>
          <cell r="C147">
            <v>8.7726597880000003</v>
          </cell>
          <cell r="D147">
            <v>6804</v>
          </cell>
        </row>
        <row r="148">
          <cell r="A148" t="str">
            <v>SAN CLEMENTE</v>
          </cell>
          <cell r="B148">
            <v>-75.775603279999999</v>
          </cell>
          <cell r="C148">
            <v>5.3324384939999998</v>
          </cell>
          <cell r="D148">
            <v>3931</v>
          </cell>
        </row>
        <row r="149">
          <cell r="A149" t="str">
            <v>SAN CRISTOBAL</v>
          </cell>
          <cell r="B149">
            <v>-75.654048959999997</v>
          </cell>
          <cell r="C149">
            <v>6.2970650099999999</v>
          </cell>
          <cell r="D149">
            <v>3877</v>
          </cell>
        </row>
        <row r="150">
          <cell r="A150" t="str">
            <v>SAN DIEGO</v>
          </cell>
          <cell r="B150">
            <v>-73.238637780000005</v>
          </cell>
          <cell r="C150">
            <v>10.121725830000001</v>
          </cell>
          <cell r="D150">
            <v>3889</v>
          </cell>
        </row>
        <row r="151">
          <cell r="A151" t="str">
            <v>SAN GIL - CURITI</v>
          </cell>
          <cell r="B151">
            <v>-73.080308669999994</v>
          </cell>
          <cell r="C151">
            <v>6.6176960889999998</v>
          </cell>
          <cell r="D151">
            <v>3986</v>
          </cell>
        </row>
        <row r="152">
          <cell r="A152" t="str">
            <v>SAN JUAN</v>
          </cell>
          <cell r="B152">
            <v>-72.975540330000001</v>
          </cell>
          <cell r="C152">
            <v>10.800015930000001</v>
          </cell>
          <cell r="D152">
            <v>3981</v>
          </cell>
        </row>
        <row r="153">
          <cell r="A153" t="str">
            <v>SAN MIGUEL</v>
          </cell>
          <cell r="B153">
            <v>-74.301889389999999</v>
          </cell>
          <cell r="C153">
            <v>4.4441646590000001</v>
          </cell>
          <cell r="D153">
            <v>3893</v>
          </cell>
        </row>
        <row r="154">
          <cell r="A154" t="str">
            <v>SAN ONOFRE</v>
          </cell>
          <cell r="B154">
            <v>-75.399052690000005</v>
          </cell>
          <cell r="C154">
            <v>9.8635192539999998</v>
          </cell>
          <cell r="D154">
            <v>3820</v>
          </cell>
        </row>
        <row r="155">
          <cell r="A155" t="str">
            <v>SAN PEDRO</v>
          </cell>
          <cell r="B155">
            <v>-74.486474169999994</v>
          </cell>
          <cell r="C155">
            <v>4.5939931019999998</v>
          </cell>
          <cell r="D155">
            <v>3888</v>
          </cell>
        </row>
        <row r="156">
          <cell r="A156" t="str">
            <v>SAN PEDRO</v>
          </cell>
          <cell r="B156">
            <v>-72.943770700000002</v>
          </cell>
          <cell r="C156">
            <v>4.6785855290000002</v>
          </cell>
          <cell r="D156">
            <v>3955</v>
          </cell>
        </row>
        <row r="157">
          <cell r="A157" t="str">
            <v>SANTA ELENA</v>
          </cell>
          <cell r="B157">
            <v>-75.461357000000007</v>
          </cell>
          <cell r="C157">
            <v>6.1796592959999996</v>
          </cell>
          <cell r="D157">
            <v>3880</v>
          </cell>
        </row>
        <row r="158">
          <cell r="A158" t="str">
            <v>SANT'AGUEDA</v>
          </cell>
          <cell r="B158">
            <v>-75.598820270000004</v>
          </cell>
          <cell r="C158">
            <v>5.0486482559999999</v>
          </cell>
          <cell r="D158">
            <v>3929</v>
          </cell>
        </row>
        <row r="159">
          <cell r="A159" t="str">
            <v>SIBERIA</v>
          </cell>
          <cell r="B159">
            <v>-74.185047769999997</v>
          </cell>
          <cell r="C159">
            <v>4.7803598369999998</v>
          </cell>
          <cell r="D159">
            <v>3943</v>
          </cell>
        </row>
        <row r="160">
          <cell r="A160" t="str">
            <v>SOPO</v>
          </cell>
          <cell r="B160">
            <v>-73.936083780000004</v>
          </cell>
          <cell r="C160">
            <v>4.8416556359999996</v>
          </cell>
          <cell r="D160">
            <v>9606</v>
          </cell>
        </row>
        <row r="161">
          <cell r="A161" t="str">
            <v>SUPIA</v>
          </cell>
          <cell r="B161">
            <v>-75.599995129999996</v>
          </cell>
          <cell r="C161">
            <v>5.3915978759999996</v>
          </cell>
          <cell r="D161">
            <v>3949</v>
          </cell>
        </row>
        <row r="162">
          <cell r="A162" t="str">
            <v>TARAPACA I</v>
          </cell>
          <cell r="B162">
            <v>-75.616601939999995</v>
          </cell>
          <cell r="C162">
            <v>4.9390474859999998</v>
          </cell>
          <cell r="D162">
            <v>3870</v>
          </cell>
        </row>
        <row r="163">
          <cell r="A163" t="str">
            <v>TARAPACA II</v>
          </cell>
          <cell r="B163">
            <v>-75.618682219999997</v>
          </cell>
          <cell r="C163">
            <v>4.9500988179999998</v>
          </cell>
          <cell r="D163">
            <v>3897</v>
          </cell>
        </row>
        <row r="164">
          <cell r="A164" t="str">
            <v>TARAZA</v>
          </cell>
          <cell r="B164">
            <v>-75.393525190000005</v>
          </cell>
          <cell r="C164">
            <v>7.5892704000000002</v>
          </cell>
          <cell r="D164">
            <v>3838</v>
          </cell>
        </row>
        <row r="165">
          <cell r="A165" t="str">
            <v>TASAJERA</v>
          </cell>
          <cell r="B165">
            <v>-74.336664330000005</v>
          </cell>
          <cell r="C165">
            <v>10.97718815</v>
          </cell>
          <cell r="D165">
            <v>3841</v>
          </cell>
        </row>
        <row r="166">
          <cell r="A166" t="str">
            <v>TRAPICHE</v>
          </cell>
          <cell r="B166">
            <v>-75.433016280000004</v>
          </cell>
          <cell r="C166">
            <v>6.3996372729999997</v>
          </cell>
          <cell r="D166">
            <v>3812</v>
          </cell>
        </row>
        <row r="167">
          <cell r="A167" t="str">
            <v>TUCURINCA</v>
          </cell>
          <cell r="B167">
            <v>-74.168453799999995</v>
          </cell>
          <cell r="C167">
            <v>10.60894721</v>
          </cell>
          <cell r="D167">
            <v>3916</v>
          </cell>
        </row>
        <row r="168">
          <cell r="A168" t="str">
            <v>TUNIA</v>
          </cell>
          <cell r="B168">
            <v>-76.536811319999998</v>
          </cell>
          <cell r="C168">
            <v>2.7016901130000002</v>
          </cell>
          <cell r="D168">
            <v>4805</v>
          </cell>
        </row>
        <row r="169">
          <cell r="A169" t="str">
            <v>TURBACO</v>
          </cell>
          <cell r="B169">
            <v>-75.443416139999997</v>
          </cell>
          <cell r="C169">
            <v>10.35697545</v>
          </cell>
          <cell r="D169">
            <v>3883</v>
          </cell>
        </row>
        <row r="170">
          <cell r="A170" t="str">
            <v>TUTA</v>
          </cell>
          <cell r="B170">
            <v>-73.278439079999998</v>
          </cell>
          <cell r="C170">
            <v>5.6568965999999996</v>
          </cell>
          <cell r="D170">
            <v>3813</v>
          </cell>
        </row>
        <row r="171">
          <cell r="A171" t="str">
            <v>UNISABANA</v>
          </cell>
          <cell r="B171">
            <v>-74.031469869999995</v>
          </cell>
          <cell r="C171">
            <v>4.8553798309999996</v>
          </cell>
          <cell r="D171">
            <v>3860</v>
          </cell>
        </row>
        <row r="172">
          <cell r="A172" t="str">
            <v>URIBIA</v>
          </cell>
          <cell r="B172">
            <v>-72.321876239999995</v>
          </cell>
          <cell r="C172">
            <v>11.60651378</v>
          </cell>
          <cell r="D172">
            <v>3894</v>
          </cell>
        </row>
        <row r="173">
          <cell r="A173" t="str">
            <v>VALENCIA</v>
          </cell>
          <cell r="B173">
            <v>-73.430869540000003</v>
          </cell>
          <cell r="C173">
            <v>10.2597059</v>
          </cell>
          <cell r="D173">
            <v>3798</v>
          </cell>
        </row>
        <row r="174">
          <cell r="A174" t="str">
            <v>VARIANTE LAS PALMAS</v>
          </cell>
          <cell r="B174">
            <v>-75.478890800000002</v>
          </cell>
          <cell r="C174">
            <v>6.1706538870000003</v>
          </cell>
          <cell r="D174">
            <v>3879</v>
          </cell>
        </row>
        <row r="175">
          <cell r="A175" t="str">
            <v>VERACRUZ</v>
          </cell>
          <cell r="B175">
            <v>-73.448174289999997</v>
          </cell>
          <cell r="C175">
            <v>4.2610640579999997</v>
          </cell>
          <cell r="D175">
            <v>3842</v>
          </cell>
        </row>
        <row r="176">
          <cell r="A176" t="str">
            <v>VERSALLES (PRIMAVERA)</v>
          </cell>
          <cell r="B176">
            <v>-75.594072359999998</v>
          </cell>
          <cell r="C176">
            <v>5.9689011780000003</v>
          </cell>
          <cell r="D176">
            <v>3856</v>
          </cell>
        </row>
        <row r="177">
          <cell r="A177" t="str">
            <v>VILLARICA</v>
          </cell>
          <cell r="B177">
            <v>-76.460031830000005</v>
          </cell>
          <cell r="C177">
            <v>3.1512330820000001</v>
          </cell>
          <cell r="D177">
            <v>5607</v>
          </cell>
        </row>
        <row r="178">
          <cell r="A178" t="str">
            <v>ZAMBITO</v>
          </cell>
          <cell r="B178">
            <v>-74.456991840000001</v>
          </cell>
          <cell r="C178">
            <v>6.2947139930000002</v>
          </cell>
          <cell r="D178">
            <v>3920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A74-16B8-4EF1-A237-D6F224C68C8F}">
  <dimension ref="A1:BL150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8" sqref="G18"/>
    </sheetView>
  </sheetViews>
  <sheetFormatPr defaultColWidth="11.42578125" defaultRowHeight="15" x14ac:dyDescent="0.25"/>
  <cols>
    <col min="1" max="1" width="6.42578125" bestFit="1" customWidth="1"/>
    <col min="2" max="2" width="11.42578125" bestFit="1" customWidth="1"/>
    <col min="3" max="3" width="53.140625" bestFit="1" customWidth="1"/>
    <col min="4" max="4" width="34.7109375" customWidth="1"/>
    <col min="5" max="28" width="10.140625" bestFit="1" customWidth="1"/>
    <col min="29" max="31" width="10.140625" style="5" bestFit="1" customWidth="1"/>
    <col min="32" max="36" width="10.7109375" style="5" bestFit="1" customWidth="1"/>
    <col min="37" max="37" width="11.7109375" style="5" bestFit="1" customWidth="1"/>
    <col min="38" max="40" width="10.7109375" style="5" bestFit="1" customWidth="1"/>
    <col min="41" max="52" width="10.140625" style="5" bestFit="1" customWidth="1"/>
    <col min="53" max="64" width="13.140625" style="5" bestFit="1" customWidth="1"/>
  </cols>
  <sheetData>
    <row r="1" spans="1:6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7">
        <v>41640</v>
      </c>
      <c r="F1" s="7">
        <v>41671</v>
      </c>
      <c r="G1" s="7">
        <v>41699</v>
      </c>
      <c r="H1" s="7">
        <v>41730</v>
      </c>
      <c r="I1" s="7">
        <v>41760</v>
      </c>
      <c r="J1" s="7">
        <v>41791</v>
      </c>
      <c r="K1" s="7">
        <v>41821</v>
      </c>
      <c r="L1" s="7">
        <v>41852</v>
      </c>
      <c r="M1" s="7">
        <v>41883</v>
      </c>
      <c r="N1" s="7">
        <v>41913</v>
      </c>
      <c r="O1" s="7">
        <v>41944</v>
      </c>
      <c r="P1" s="7">
        <v>41974</v>
      </c>
      <c r="Q1" s="7">
        <v>42005</v>
      </c>
      <c r="R1" s="7">
        <v>42036</v>
      </c>
      <c r="S1" s="7">
        <v>42064</v>
      </c>
      <c r="T1" s="7">
        <v>42095</v>
      </c>
      <c r="U1" s="7">
        <v>42125</v>
      </c>
      <c r="V1" s="7">
        <v>42156</v>
      </c>
      <c r="W1" s="7">
        <v>42186</v>
      </c>
      <c r="X1" s="7">
        <v>42217</v>
      </c>
      <c r="Y1" s="7">
        <v>42248</v>
      </c>
      <c r="Z1" s="7">
        <v>42278</v>
      </c>
      <c r="AA1" s="7">
        <v>42309</v>
      </c>
      <c r="AB1" s="7">
        <v>42339</v>
      </c>
      <c r="AC1" s="7">
        <v>42370</v>
      </c>
      <c r="AD1" s="7">
        <v>42401</v>
      </c>
      <c r="AE1" s="7">
        <v>42430</v>
      </c>
      <c r="AF1" s="7">
        <v>42461</v>
      </c>
      <c r="AG1" s="7">
        <v>42491</v>
      </c>
      <c r="AH1" s="7">
        <v>42522</v>
      </c>
      <c r="AI1" s="7">
        <v>42552</v>
      </c>
      <c r="AJ1" s="7">
        <v>42583</v>
      </c>
      <c r="AK1" s="7">
        <v>42614</v>
      </c>
      <c r="AL1" s="7">
        <v>42644</v>
      </c>
      <c r="AM1" s="7">
        <v>42675</v>
      </c>
      <c r="AN1" s="7">
        <v>42705</v>
      </c>
      <c r="AO1" s="7">
        <v>42736</v>
      </c>
      <c r="AP1" s="7">
        <v>42767</v>
      </c>
      <c r="AQ1" s="7">
        <v>42795</v>
      </c>
      <c r="AR1" s="7">
        <v>42826</v>
      </c>
      <c r="AS1" s="7">
        <v>42856</v>
      </c>
      <c r="AT1" s="7">
        <v>42887</v>
      </c>
      <c r="AU1" s="7">
        <v>42917</v>
      </c>
      <c r="AV1" s="7">
        <v>42948</v>
      </c>
      <c r="AW1" s="7">
        <v>42979</v>
      </c>
      <c r="AX1" s="7">
        <v>43009</v>
      </c>
      <c r="AY1" s="7">
        <v>43040</v>
      </c>
      <c r="AZ1" s="7">
        <v>43070</v>
      </c>
      <c r="BA1" s="7">
        <v>43101</v>
      </c>
      <c r="BB1" s="7">
        <v>43132</v>
      </c>
      <c r="BC1" s="7">
        <v>43160</v>
      </c>
      <c r="BD1" s="7">
        <v>43191</v>
      </c>
      <c r="BE1" s="7">
        <v>43221</v>
      </c>
      <c r="BF1" s="7">
        <v>43252</v>
      </c>
      <c r="BG1" s="7">
        <v>43282</v>
      </c>
      <c r="BH1" s="7">
        <v>43313</v>
      </c>
      <c r="BI1" s="7">
        <v>43344</v>
      </c>
      <c r="BJ1" s="7">
        <v>43374</v>
      </c>
      <c r="BK1" s="7">
        <v>43405</v>
      </c>
      <c r="BL1" s="7">
        <v>43435</v>
      </c>
    </row>
    <row r="2" spans="1:64" x14ac:dyDescent="0.25">
      <c r="A2" s="1">
        <v>99</v>
      </c>
      <c r="B2" s="3" t="s">
        <v>147</v>
      </c>
      <c r="C2" s="3" t="s">
        <v>148</v>
      </c>
      <c r="D2" s="3" t="s">
        <v>149</v>
      </c>
      <c r="E2" s="6">
        <f>[1]P3!C239+[1]P3!D239</f>
        <v>0</v>
      </c>
      <c r="F2" s="6">
        <f>[1]P3!E239</f>
        <v>0</v>
      </c>
      <c r="G2" s="6">
        <f>[1]P3!F239</f>
        <v>0</v>
      </c>
      <c r="H2" s="6">
        <f>[1]P3!G239</f>
        <v>0</v>
      </c>
      <c r="I2" s="6">
        <f>[1]P3!H239</f>
        <v>0</v>
      </c>
      <c r="J2" s="6">
        <f>[1]P3!I239</f>
        <v>0</v>
      </c>
      <c r="K2" s="6">
        <f>[1]P3!J239</f>
        <v>0</v>
      </c>
      <c r="L2" s="6">
        <f>[1]P3!K239</f>
        <v>0</v>
      </c>
      <c r="M2" s="6">
        <f>[1]P3!L239</f>
        <v>0</v>
      </c>
      <c r="N2" s="6">
        <f>[1]P3!M239</f>
        <v>0</v>
      </c>
      <c r="O2" s="6">
        <f>[1]P3!N239</f>
        <v>0</v>
      </c>
      <c r="P2" s="6">
        <f>[1]P3!O239</f>
        <v>91790</v>
      </c>
      <c r="Q2" s="6">
        <v>92652</v>
      </c>
      <c r="R2" s="6">
        <v>68995</v>
      </c>
      <c r="S2" s="6">
        <v>78311</v>
      </c>
      <c r="T2" s="6">
        <v>76855</v>
      </c>
      <c r="U2" s="6">
        <v>78805</v>
      </c>
      <c r="V2" s="6">
        <v>80921</v>
      </c>
      <c r="W2" s="6">
        <v>82438</v>
      </c>
      <c r="X2" s="6">
        <v>81405</v>
      </c>
      <c r="Y2" s="6">
        <v>77309</v>
      </c>
      <c r="Z2" s="6">
        <v>84130</v>
      </c>
      <c r="AA2" s="6">
        <v>83201</v>
      </c>
      <c r="AB2" s="6">
        <v>102465</v>
      </c>
      <c r="AC2" s="6">
        <v>97515</v>
      </c>
      <c r="AD2" s="6">
        <v>76217</v>
      </c>
      <c r="AE2" s="6">
        <v>86264</v>
      </c>
      <c r="AF2" s="6">
        <v>75724</v>
      </c>
      <c r="AG2" s="6">
        <v>83620</v>
      </c>
      <c r="AH2" s="6">
        <v>83344</v>
      </c>
      <c r="AI2" s="6">
        <v>90354</v>
      </c>
      <c r="AJ2" s="6">
        <v>86790</v>
      </c>
      <c r="AK2" s="6">
        <v>82716</v>
      </c>
      <c r="AL2" s="6">
        <v>88979</v>
      </c>
      <c r="AM2" s="6">
        <v>90183</v>
      </c>
      <c r="AN2" s="6">
        <v>103942</v>
      </c>
      <c r="AO2" s="6">
        <v>103648</v>
      </c>
      <c r="AP2" s="6">
        <v>79482</v>
      </c>
      <c r="AQ2" s="6">
        <v>88909</v>
      </c>
      <c r="AR2" s="6">
        <v>90179</v>
      </c>
      <c r="AS2" s="6">
        <v>90302</v>
      </c>
      <c r="AT2" s="6">
        <v>87110</v>
      </c>
      <c r="AU2" s="6">
        <v>90561</v>
      </c>
      <c r="AV2" s="6">
        <v>85800</v>
      </c>
      <c r="AW2" s="6">
        <v>77672</v>
      </c>
      <c r="AX2" s="6">
        <v>79348</v>
      </c>
      <c r="AY2" s="6">
        <v>89969</v>
      </c>
      <c r="AZ2" s="6">
        <v>107648</v>
      </c>
      <c r="BA2" s="6">
        <v>139093</v>
      </c>
      <c r="BB2" s="6">
        <v>136699</v>
      </c>
      <c r="BC2" s="6">
        <v>129099</v>
      </c>
      <c r="BD2" s="6">
        <v>109589</v>
      </c>
      <c r="BE2" s="6">
        <v>120429</v>
      </c>
      <c r="BF2" s="6">
        <v>112631</v>
      </c>
      <c r="BG2" s="6">
        <v>121432</v>
      </c>
      <c r="BH2" s="6">
        <v>119666</v>
      </c>
      <c r="BI2" s="6">
        <v>106213</v>
      </c>
      <c r="BJ2" s="6">
        <v>115864</v>
      </c>
      <c r="BK2" s="6">
        <v>115550</v>
      </c>
      <c r="BL2" s="6">
        <v>129337</v>
      </c>
    </row>
    <row r="3" spans="1:64" x14ac:dyDescent="0.25">
      <c r="A3" s="1">
        <v>78</v>
      </c>
      <c r="B3" s="3" t="s">
        <v>112</v>
      </c>
      <c r="C3" s="3" t="s">
        <v>113</v>
      </c>
      <c r="D3" s="3" t="s">
        <v>114</v>
      </c>
      <c r="E3" s="6">
        <f>[1]RDS2!C239+[1]RDS2!D239</f>
        <v>175322</v>
      </c>
      <c r="F3" s="6">
        <f>[1]RDS2!E239</f>
        <v>111638</v>
      </c>
      <c r="G3" s="6">
        <f>[1]RDS2!F239</f>
        <v>119312</v>
      </c>
      <c r="H3" s="6">
        <f>[1]RDS2!G239</f>
        <v>141652</v>
      </c>
      <c r="I3" s="6">
        <f>[1]RDS2!H239</f>
        <v>82592</v>
      </c>
      <c r="J3" s="6">
        <f>[1]RDS2!I239</f>
        <v>132517</v>
      </c>
      <c r="K3" s="6">
        <f>[1]RDS2!J239</f>
        <v>141978</v>
      </c>
      <c r="L3" s="6">
        <f>[1]RDS2!K239</f>
        <v>131071</v>
      </c>
      <c r="M3" s="6">
        <f>[1]RDS2!L239</f>
        <v>130525</v>
      </c>
      <c r="N3" s="6">
        <f>[1]RDS2!M239</f>
        <v>144947</v>
      </c>
      <c r="O3" s="6">
        <f>[1]RDS2!N239</f>
        <v>121281</v>
      </c>
      <c r="P3" s="6">
        <f>[1]RDS2!O239</f>
        <v>163462</v>
      </c>
      <c r="Q3" s="6">
        <v>174140</v>
      </c>
      <c r="R3" s="6">
        <v>117900</v>
      </c>
      <c r="S3" s="6">
        <v>131960</v>
      </c>
      <c r="T3" s="6">
        <v>133109</v>
      </c>
      <c r="U3" s="6">
        <v>128348</v>
      </c>
      <c r="V3" s="6">
        <v>135316</v>
      </c>
      <c r="W3" s="6">
        <v>149760</v>
      </c>
      <c r="X3" s="6">
        <v>145247</v>
      </c>
      <c r="Y3" s="6">
        <v>136081</v>
      </c>
      <c r="Z3" s="6">
        <v>148961</v>
      </c>
      <c r="AA3" s="6">
        <v>142373</v>
      </c>
      <c r="AB3" s="6">
        <v>183944</v>
      </c>
      <c r="AC3" s="6">
        <v>197229</v>
      </c>
      <c r="AD3" s="6">
        <v>120500</v>
      </c>
      <c r="AE3" s="6">
        <v>147347</v>
      </c>
      <c r="AF3" s="6">
        <v>124425</v>
      </c>
      <c r="AG3" s="6">
        <v>125077</v>
      </c>
      <c r="AH3" s="6">
        <v>134885</v>
      </c>
      <c r="AI3" s="6">
        <v>131106</v>
      </c>
      <c r="AJ3" s="6">
        <v>137888</v>
      </c>
      <c r="AK3" s="6">
        <v>128349</v>
      </c>
      <c r="AL3" s="6">
        <v>142278</v>
      </c>
      <c r="AM3" s="6">
        <v>135228</v>
      </c>
      <c r="AN3" s="6">
        <v>178389</v>
      </c>
      <c r="AO3" s="6">
        <v>197845</v>
      </c>
      <c r="AP3" s="6">
        <v>119083</v>
      </c>
      <c r="AQ3" s="6">
        <v>127022</v>
      </c>
      <c r="AR3" s="6">
        <v>144690</v>
      </c>
      <c r="AS3" s="6">
        <v>124210</v>
      </c>
      <c r="AT3" s="6">
        <v>136894</v>
      </c>
      <c r="AU3" s="6">
        <v>136062</v>
      </c>
      <c r="AV3" s="6">
        <v>133317</v>
      </c>
      <c r="AW3" s="6">
        <v>128505</v>
      </c>
      <c r="AX3" s="6">
        <v>93831</v>
      </c>
      <c r="AY3" s="6">
        <v>0</v>
      </c>
      <c r="AZ3" s="6">
        <v>0</v>
      </c>
      <c r="BA3" s="6">
        <v>449606</v>
      </c>
      <c r="BB3" s="6">
        <v>295750</v>
      </c>
      <c r="BC3" s="6">
        <v>394704</v>
      </c>
      <c r="BD3" s="6">
        <v>327786</v>
      </c>
      <c r="BE3" s="6">
        <v>336838</v>
      </c>
      <c r="BF3" s="6">
        <v>383911</v>
      </c>
      <c r="BG3" s="6">
        <v>401444</v>
      </c>
      <c r="BH3" s="6">
        <v>395070</v>
      </c>
      <c r="BI3" s="6">
        <v>342492</v>
      </c>
      <c r="BJ3" s="6">
        <v>389079</v>
      </c>
      <c r="BK3" s="6">
        <v>384287</v>
      </c>
      <c r="BL3" s="6">
        <v>564309</v>
      </c>
    </row>
    <row r="4" spans="1:64" x14ac:dyDescent="0.25">
      <c r="A4" s="1">
        <v>52</v>
      </c>
      <c r="B4" s="3" t="s">
        <v>79</v>
      </c>
      <c r="C4" s="3" t="s">
        <v>80</v>
      </c>
      <c r="D4" s="3" t="s">
        <v>81</v>
      </c>
      <c r="E4" s="6">
        <f>[1]BTS!C239+[1]BTS!D239</f>
        <v>355251</v>
      </c>
      <c r="F4" s="6">
        <f>[1]BTS!E239</f>
        <v>244244</v>
      </c>
      <c r="G4" s="6">
        <f>[1]BTS!F239</f>
        <v>282834</v>
      </c>
      <c r="H4" s="6">
        <f>[1]BTS!G239</f>
        <v>305408</v>
      </c>
      <c r="I4" s="6">
        <f>[1]BTS!H239</f>
        <v>241843</v>
      </c>
      <c r="J4" s="6">
        <f>[1]BTS!I239</f>
        <v>313235</v>
      </c>
      <c r="K4" s="6">
        <f>[1]BTS!J239</f>
        <v>287770</v>
      </c>
      <c r="L4" s="6">
        <f>[1]BTS!K239</f>
        <v>313329</v>
      </c>
      <c r="M4" s="6">
        <f>[1]BTS!L239</f>
        <v>263142</v>
      </c>
      <c r="N4" s="6">
        <f>[1]BTS!M239</f>
        <v>312162</v>
      </c>
      <c r="O4" s="6">
        <f>[1]BTS!N239</f>
        <v>303257</v>
      </c>
      <c r="P4" s="6">
        <f>[1]BTS!O239</f>
        <v>425273</v>
      </c>
      <c r="Q4" s="6">
        <v>389380</v>
      </c>
      <c r="R4" s="6">
        <v>259217</v>
      </c>
      <c r="S4" s="6">
        <v>291487</v>
      </c>
      <c r="T4" s="6">
        <v>321502</v>
      </c>
      <c r="U4" s="6">
        <v>323571</v>
      </c>
      <c r="V4" s="6">
        <v>348277</v>
      </c>
      <c r="W4" s="6">
        <v>330575</v>
      </c>
      <c r="X4" s="6">
        <v>337213</v>
      </c>
      <c r="Y4" s="6">
        <v>284793</v>
      </c>
      <c r="Z4" s="6">
        <v>343016</v>
      </c>
      <c r="AA4" s="6">
        <v>323331</v>
      </c>
      <c r="AB4" s="6">
        <v>459351</v>
      </c>
      <c r="AC4" s="6">
        <v>411188</v>
      </c>
      <c r="AD4" s="6">
        <v>280997</v>
      </c>
      <c r="AE4" s="6">
        <v>377069</v>
      </c>
      <c r="AF4" s="6">
        <v>283988</v>
      </c>
      <c r="AG4" s="6">
        <v>339126</v>
      </c>
      <c r="AH4" s="6">
        <v>314921</v>
      </c>
      <c r="AI4" s="6">
        <v>299591</v>
      </c>
      <c r="AJ4" s="6">
        <v>350355</v>
      </c>
      <c r="AK4" s="6">
        <v>305016</v>
      </c>
      <c r="AL4" s="6">
        <v>354488</v>
      </c>
      <c r="AM4" s="6">
        <v>337603</v>
      </c>
      <c r="AN4" s="6">
        <v>469466</v>
      </c>
      <c r="AO4" s="6">
        <v>429518</v>
      </c>
      <c r="AP4" s="6">
        <v>290764</v>
      </c>
      <c r="AQ4" s="6">
        <v>326996</v>
      </c>
      <c r="AR4" s="6">
        <v>376121</v>
      </c>
      <c r="AS4" s="6">
        <v>335898</v>
      </c>
      <c r="AT4" s="6">
        <v>354376</v>
      </c>
      <c r="AU4" s="6">
        <v>377207</v>
      </c>
      <c r="AV4" s="6">
        <v>369778</v>
      </c>
      <c r="AW4" s="6">
        <v>308679</v>
      </c>
      <c r="AX4" s="6">
        <v>363751</v>
      </c>
      <c r="AY4" s="6">
        <v>351327</v>
      </c>
      <c r="AZ4" s="6">
        <v>517453</v>
      </c>
      <c r="BA4" s="6">
        <v>117298</v>
      </c>
      <c r="BB4" s="6">
        <v>84119</v>
      </c>
      <c r="BC4" s="6">
        <v>102185</v>
      </c>
      <c r="BD4" s="6">
        <v>87193</v>
      </c>
      <c r="BE4" s="6">
        <v>91424</v>
      </c>
      <c r="BF4" s="6">
        <v>91598</v>
      </c>
      <c r="BG4" s="6">
        <v>94288</v>
      </c>
      <c r="BH4" s="6">
        <v>91648</v>
      </c>
      <c r="BI4" s="6">
        <v>89153</v>
      </c>
      <c r="BJ4" s="6">
        <v>98941</v>
      </c>
      <c r="BK4" s="6">
        <v>98799</v>
      </c>
      <c r="BL4" s="6">
        <v>114978</v>
      </c>
    </row>
    <row r="5" spans="1:64" x14ac:dyDescent="0.25">
      <c r="A5" s="1">
        <v>146</v>
      </c>
      <c r="B5" s="3" t="s">
        <v>218</v>
      </c>
      <c r="C5" s="3" t="s">
        <v>219</v>
      </c>
      <c r="D5" s="3" t="s">
        <v>220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24493</v>
      </c>
      <c r="Z5" s="6">
        <v>98310</v>
      </c>
      <c r="AA5" s="6">
        <v>97323</v>
      </c>
      <c r="AB5" s="6">
        <v>115648</v>
      </c>
      <c r="AC5" s="6">
        <v>111120</v>
      </c>
      <c r="AD5" s="6">
        <v>84031</v>
      </c>
      <c r="AE5" s="6">
        <v>101005</v>
      </c>
      <c r="AF5" s="6">
        <v>89415</v>
      </c>
      <c r="AG5" s="6">
        <v>96922</v>
      </c>
      <c r="AH5" s="6">
        <v>92988</v>
      </c>
      <c r="AI5" s="6">
        <v>97479</v>
      </c>
      <c r="AJ5" s="6">
        <v>104534</v>
      </c>
      <c r="AK5" s="6">
        <v>101744</v>
      </c>
      <c r="AL5" s="6">
        <v>113812</v>
      </c>
      <c r="AM5" s="6">
        <v>111004</v>
      </c>
      <c r="AN5" s="6">
        <v>125534</v>
      </c>
      <c r="AO5" s="6">
        <v>117938</v>
      </c>
      <c r="AP5" s="6">
        <v>88895</v>
      </c>
      <c r="AQ5" s="6">
        <v>98913</v>
      </c>
      <c r="AR5" s="6">
        <v>105715</v>
      </c>
      <c r="AS5" s="6">
        <v>95013</v>
      </c>
      <c r="AT5" s="6">
        <v>99422</v>
      </c>
      <c r="AU5" s="6">
        <v>102869</v>
      </c>
      <c r="AV5" s="6">
        <v>102568</v>
      </c>
      <c r="AW5" s="6">
        <v>94784</v>
      </c>
      <c r="AX5" s="6">
        <v>101393</v>
      </c>
      <c r="AY5" s="6">
        <v>100920</v>
      </c>
      <c r="AZ5" s="6">
        <v>117914</v>
      </c>
      <c r="BA5" s="6">
        <v>101016</v>
      </c>
      <c r="BB5" s="6">
        <v>85340</v>
      </c>
      <c r="BC5" s="6">
        <v>98276</v>
      </c>
      <c r="BD5" s="6">
        <v>93962</v>
      </c>
      <c r="BE5" s="6">
        <v>93823</v>
      </c>
      <c r="BF5" s="6">
        <v>91076</v>
      </c>
      <c r="BG5" s="6">
        <v>97179</v>
      </c>
      <c r="BH5" s="6">
        <v>94174</v>
      </c>
      <c r="BI5" s="6">
        <v>88958</v>
      </c>
      <c r="BJ5" s="6">
        <v>89538</v>
      </c>
      <c r="BK5" s="6">
        <v>88780</v>
      </c>
      <c r="BL5" s="6">
        <v>112008</v>
      </c>
    </row>
    <row r="6" spans="1:64" x14ac:dyDescent="0.25">
      <c r="A6" s="1">
        <v>34</v>
      </c>
      <c r="B6" s="3" t="s">
        <v>53</v>
      </c>
      <c r="C6" s="3" t="s">
        <v>54</v>
      </c>
      <c r="D6" s="3" t="s">
        <v>55</v>
      </c>
      <c r="E6" s="6">
        <f>[1]SMP!C379+[1]SMP!D379</f>
        <v>90028</v>
      </c>
      <c r="F6" s="6">
        <f>[1]SMP!E379</f>
        <v>68820</v>
      </c>
      <c r="G6" s="6">
        <f>[1]SMP!F379</f>
        <v>72522</v>
      </c>
      <c r="H6" s="6">
        <f>[1]SMP!G379</f>
        <v>74268</v>
      </c>
      <c r="I6" s="6">
        <f>[1]SMP!H379</f>
        <v>75313</v>
      </c>
      <c r="J6" s="6">
        <f>[1]SMP!I379</f>
        <v>74567</v>
      </c>
      <c r="K6" s="6">
        <f>[1]SMP!J379</f>
        <v>77920</v>
      </c>
      <c r="L6" s="6">
        <f>[1]SMP!K379</f>
        <v>74311</v>
      </c>
      <c r="M6" s="6">
        <f>[1]SMP!L379</f>
        <v>68660</v>
      </c>
      <c r="N6" s="6">
        <f>[1]SMP!M379</f>
        <v>67749</v>
      </c>
      <c r="O6" s="6">
        <f>[1]SMP!N379</f>
        <v>68918</v>
      </c>
      <c r="P6" s="6">
        <f>[1]SMP!O379</f>
        <v>84597</v>
      </c>
      <c r="Q6" s="6">
        <v>75842</v>
      </c>
      <c r="R6" s="6">
        <v>60636</v>
      </c>
      <c r="S6" s="6">
        <v>70308</v>
      </c>
      <c r="T6" s="6">
        <v>69301</v>
      </c>
      <c r="U6" s="6">
        <v>73536</v>
      </c>
      <c r="V6" s="6">
        <v>70070</v>
      </c>
      <c r="W6" s="6">
        <v>70303</v>
      </c>
      <c r="X6" s="6">
        <v>73017</v>
      </c>
      <c r="Y6" s="6">
        <v>63301</v>
      </c>
      <c r="Z6" s="6">
        <v>70941</v>
      </c>
      <c r="AA6" s="6">
        <v>68153</v>
      </c>
      <c r="AB6" s="6">
        <v>86405</v>
      </c>
      <c r="AC6" s="6">
        <v>78230</v>
      </c>
      <c r="AD6" s="6">
        <v>68291</v>
      </c>
      <c r="AE6" s="6">
        <v>77989</v>
      </c>
      <c r="AF6" s="6">
        <v>71805</v>
      </c>
      <c r="AG6" s="6">
        <v>83063</v>
      </c>
      <c r="AH6" s="6">
        <v>77763</v>
      </c>
      <c r="AI6" s="6">
        <v>79065</v>
      </c>
      <c r="AJ6" s="6">
        <v>75793</v>
      </c>
      <c r="AK6" s="6">
        <v>74170</v>
      </c>
      <c r="AL6" s="6">
        <v>78084</v>
      </c>
      <c r="AM6" s="6">
        <v>83090</v>
      </c>
      <c r="AN6" s="6">
        <v>96055</v>
      </c>
      <c r="AO6" s="6">
        <v>85047</v>
      </c>
      <c r="AP6" s="6">
        <v>75379</v>
      </c>
      <c r="AQ6" s="6">
        <v>86621</v>
      </c>
      <c r="AR6" s="6">
        <v>83183</v>
      </c>
      <c r="AS6" s="6">
        <v>95446</v>
      </c>
      <c r="AT6" s="6">
        <v>87838</v>
      </c>
      <c r="AU6" s="6">
        <v>94486</v>
      </c>
      <c r="AV6" s="6">
        <v>94905</v>
      </c>
      <c r="AW6" s="6">
        <v>92692</v>
      </c>
      <c r="AX6" s="6">
        <v>95249</v>
      </c>
      <c r="AY6" s="6">
        <v>89632</v>
      </c>
      <c r="AZ6" s="6">
        <v>111334</v>
      </c>
      <c r="BA6" s="6">
        <v>181820</v>
      </c>
      <c r="BB6" s="6">
        <v>130604</v>
      </c>
      <c r="BC6" s="6">
        <v>154935</v>
      </c>
      <c r="BD6" s="6">
        <v>143557</v>
      </c>
      <c r="BE6" s="6">
        <v>145362</v>
      </c>
      <c r="BF6" s="6">
        <v>149184</v>
      </c>
      <c r="BG6" s="6">
        <v>156102</v>
      </c>
      <c r="BH6" s="6">
        <v>153731</v>
      </c>
      <c r="BI6" s="6">
        <v>140036</v>
      </c>
      <c r="BJ6" s="6">
        <v>149186</v>
      </c>
      <c r="BK6" s="6">
        <v>142114</v>
      </c>
      <c r="BL6" s="6">
        <v>164997</v>
      </c>
    </row>
    <row r="7" spans="1:64" x14ac:dyDescent="0.25">
      <c r="A7" s="1">
        <v>123</v>
      </c>
      <c r="B7" s="3" t="s">
        <v>185</v>
      </c>
      <c r="C7" s="3" t="s">
        <v>186</v>
      </c>
      <c r="D7" s="3" t="s">
        <v>187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46315</v>
      </c>
      <c r="Y7" s="6">
        <v>140413</v>
      </c>
      <c r="Z7" s="6">
        <v>153003</v>
      </c>
      <c r="AA7" s="6">
        <v>149432</v>
      </c>
      <c r="AB7" s="6">
        <v>178671</v>
      </c>
      <c r="AC7" s="6">
        <v>181869</v>
      </c>
      <c r="AD7" s="6">
        <v>132747</v>
      </c>
      <c r="AE7" s="6">
        <v>154115</v>
      </c>
      <c r="AF7" s="6">
        <v>142040</v>
      </c>
      <c r="AG7" s="6">
        <v>147430</v>
      </c>
      <c r="AH7" s="6">
        <v>149079</v>
      </c>
      <c r="AI7" s="6">
        <v>154976</v>
      </c>
      <c r="AJ7" s="6">
        <v>156819</v>
      </c>
      <c r="AK7" s="6">
        <v>144321</v>
      </c>
      <c r="AL7" s="6">
        <v>155354</v>
      </c>
      <c r="AM7" s="6">
        <v>149700</v>
      </c>
      <c r="AN7" s="6">
        <v>174197</v>
      </c>
      <c r="AO7" s="6">
        <v>184419</v>
      </c>
      <c r="AP7" s="6">
        <v>131897</v>
      </c>
      <c r="AQ7" s="6">
        <v>146168</v>
      </c>
      <c r="AR7" s="6">
        <v>152568</v>
      </c>
      <c r="AS7" s="6">
        <v>149255</v>
      </c>
      <c r="AT7" s="6">
        <v>152981</v>
      </c>
      <c r="AU7" s="6">
        <v>159201</v>
      </c>
      <c r="AV7" s="6">
        <v>157837</v>
      </c>
      <c r="AW7" s="6">
        <v>143663</v>
      </c>
      <c r="AX7" s="6">
        <v>152998</v>
      </c>
      <c r="AY7" s="6">
        <v>149614</v>
      </c>
      <c r="AZ7" s="6">
        <v>174256</v>
      </c>
      <c r="BA7" s="6">
        <v>248671</v>
      </c>
      <c r="BB7" s="6">
        <v>187535</v>
      </c>
      <c r="BC7" s="6">
        <v>231634</v>
      </c>
      <c r="BD7" s="6">
        <v>204391</v>
      </c>
      <c r="BE7" s="6">
        <v>136455</v>
      </c>
      <c r="BF7" s="6">
        <v>172753</v>
      </c>
      <c r="BG7" s="6">
        <v>201723</v>
      </c>
      <c r="BH7" s="6">
        <v>214975</v>
      </c>
      <c r="BI7" s="6">
        <v>199674</v>
      </c>
      <c r="BJ7" s="6">
        <v>209782</v>
      </c>
      <c r="BK7" s="6">
        <v>213607</v>
      </c>
      <c r="BL7" s="6">
        <v>256115</v>
      </c>
    </row>
    <row r="8" spans="1:64" x14ac:dyDescent="0.25">
      <c r="A8" s="1">
        <v>96</v>
      </c>
      <c r="B8" s="3" t="s">
        <v>140</v>
      </c>
      <c r="C8" s="3" t="s">
        <v>141</v>
      </c>
      <c r="D8" s="3" t="s">
        <v>142</v>
      </c>
      <c r="E8" s="6">
        <f>[1]P1!C99+[1]P1!D99</f>
        <v>0</v>
      </c>
      <c r="F8" s="6">
        <f>[1]P1!E99</f>
        <v>0</v>
      </c>
      <c r="G8" s="6">
        <f>[1]P1!F99</f>
        <v>0</v>
      </c>
      <c r="H8" s="6">
        <f>[1]P1!G99</f>
        <v>0</v>
      </c>
      <c r="I8" s="6">
        <f>[1]P1!H99</f>
        <v>0</v>
      </c>
      <c r="J8" s="6">
        <f>[1]P1!I99</f>
        <v>0</v>
      </c>
      <c r="K8" s="6">
        <f>[1]P1!J99</f>
        <v>0</v>
      </c>
      <c r="L8" s="6">
        <f>[1]P1!K99</f>
        <v>0</v>
      </c>
      <c r="M8" s="6">
        <f>[1]P1!L99</f>
        <v>0</v>
      </c>
      <c r="N8" s="6">
        <f>[1]P1!M99</f>
        <v>0</v>
      </c>
      <c r="O8" s="6">
        <f>[1]P1!N99</f>
        <v>189798</v>
      </c>
      <c r="P8" s="6">
        <f>[1]P1!O99</f>
        <v>223965</v>
      </c>
      <c r="Q8" s="6">
        <v>212893</v>
      </c>
      <c r="R8" s="6">
        <v>164706</v>
      </c>
      <c r="S8" s="6">
        <v>192225</v>
      </c>
      <c r="T8" s="6">
        <v>185774</v>
      </c>
      <c r="U8" s="6">
        <v>206903</v>
      </c>
      <c r="V8" s="6">
        <v>214948</v>
      </c>
      <c r="W8" s="6">
        <v>197441</v>
      </c>
      <c r="X8" s="6">
        <v>206254</v>
      </c>
      <c r="Y8" s="6">
        <v>189184</v>
      </c>
      <c r="Z8" s="6">
        <v>213292</v>
      </c>
      <c r="AA8" s="6">
        <v>184674</v>
      </c>
      <c r="AB8" s="6">
        <v>233810</v>
      </c>
      <c r="AC8" s="6">
        <v>226676</v>
      </c>
      <c r="AD8" s="6">
        <v>188467</v>
      </c>
      <c r="AE8" s="6">
        <v>226552</v>
      </c>
      <c r="AF8" s="6">
        <v>196195</v>
      </c>
      <c r="AG8" s="6">
        <v>219106</v>
      </c>
      <c r="AH8" s="6">
        <v>210008</v>
      </c>
      <c r="AI8" s="6">
        <v>217154</v>
      </c>
      <c r="AJ8" s="6">
        <v>231049</v>
      </c>
      <c r="AK8" s="6">
        <v>199433</v>
      </c>
      <c r="AL8" s="6">
        <v>217315</v>
      </c>
      <c r="AM8" s="6">
        <v>201518</v>
      </c>
      <c r="AN8" s="6">
        <v>238203</v>
      </c>
      <c r="AO8" s="6">
        <v>233664</v>
      </c>
      <c r="AP8" s="6">
        <v>185859</v>
      </c>
      <c r="AQ8" s="6">
        <v>203793</v>
      </c>
      <c r="AR8" s="6">
        <v>214663</v>
      </c>
      <c r="AS8" s="6">
        <v>209058</v>
      </c>
      <c r="AT8" s="6">
        <v>218307</v>
      </c>
      <c r="AU8" s="6">
        <v>227765</v>
      </c>
      <c r="AV8" s="6">
        <v>217318</v>
      </c>
      <c r="AW8" s="6">
        <v>183491</v>
      </c>
      <c r="AX8" s="6">
        <v>216532</v>
      </c>
      <c r="AY8" s="6">
        <v>220388</v>
      </c>
      <c r="AZ8" s="6">
        <v>261140</v>
      </c>
      <c r="BA8" s="6">
        <v>2100717800</v>
      </c>
      <c r="BB8" s="6">
        <v>1663976350</v>
      </c>
      <c r="BC8" s="6">
        <v>2030450300</v>
      </c>
      <c r="BD8" s="6">
        <v>1821062100</v>
      </c>
      <c r="BE8" s="6">
        <v>1226332200</v>
      </c>
      <c r="BF8" s="6">
        <v>1530527600</v>
      </c>
      <c r="BG8" s="6">
        <v>1773198150</v>
      </c>
      <c r="BH8" s="6">
        <v>1899270950</v>
      </c>
      <c r="BI8" s="6">
        <v>1758902300</v>
      </c>
      <c r="BJ8" s="6">
        <v>1852465800</v>
      </c>
      <c r="BK8" s="6">
        <v>1866120750</v>
      </c>
      <c r="BL8" s="6">
        <v>2185983800</v>
      </c>
    </row>
    <row r="9" spans="1:64" s="10" customFormat="1" x14ac:dyDescent="0.25">
      <c r="A9" s="8">
        <v>17</v>
      </c>
      <c r="B9" s="8" t="s">
        <v>26</v>
      </c>
      <c r="C9" s="8" t="s">
        <v>27</v>
      </c>
      <c r="D9" s="8" t="s">
        <v>28</v>
      </c>
      <c r="E9" s="6">
        <f>[1]DVN!C99+[1]DVN!D99</f>
        <v>951719</v>
      </c>
      <c r="F9" s="6">
        <f>[1]DVN!E99</f>
        <v>896015</v>
      </c>
      <c r="G9" s="6">
        <f>[1]DVN!F99</f>
        <v>989585</v>
      </c>
      <c r="H9" s="6">
        <f>[1]DVN!G99</f>
        <v>940167</v>
      </c>
      <c r="I9" s="6">
        <f>[1]DVN!H99</f>
        <v>1001869</v>
      </c>
      <c r="J9" s="6">
        <f>[1]DVN!I99</f>
        <v>943065</v>
      </c>
      <c r="K9" s="6">
        <f>[1]DVN!J99</f>
        <v>969776</v>
      </c>
      <c r="L9" s="6">
        <f>[1]DVN!K99</f>
        <v>1041110</v>
      </c>
      <c r="M9" s="6">
        <f>[1]DVN!L99</f>
        <v>988229</v>
      </c>
      <c r="N9" s="6">
        <f>[1]DVN!M99</f>
        <v>1050048</v>
      </c>
      <c r="O9" s="6">
        <f>[1]DVN!N99</f>
        <v>1027593</v>
      </c>
      <c r="P9" s="6">
        <f>[1]DVN!O99</f>
        <v>1154847</v>
      </c>
      <c r="Q9" s="6">
        <v>1012878</v>
      </c>
      <c r="R9" s="6">
        <v>942674</v>
      </c>
      <c r="S9" s="6">
        <v>1040367</v>
      </c>
      <c r="T9" s="6">
        <v>993625</v>
      </c>
      <c r="U9" s="6">
        <v>1063319</v>
      </c>
      <c r="V9" s="6">
        <v>1004780</v>
      </c>
      <c r="W9" s="6">
        <v>1042408</v>
      </c>
      <c r="X9" s="6">
        <v>1088098</v>
      </c>
      <c r="Y9" s="6">
        <v>1030722</v>
      </c>
      <c r="Z9" s="6">
        <v>1108975</v>
      </c>
      <c r="AA9" s="6">
        <v>1064596</v>
      </c>
      <c r="AB9" s="6">
        <v>1217845</v>
      </c>
      <c r="AC9" s="6">
        <v>1036048</v>
      </c>
      <c r="AD9" s="6">
        <v>1001589</v>
      </c>
      <c r="AE9" s="6">
        <v>1058358</v>
      </c>
      <c r="AF9" s="6">
        <v>1025509</v>
      </c>
      <c r="AG9" s="6">
        <v>1066629</v>
      </c>
      <c r="AH9" s="6">
        <v>1039355</v>
      </c>
      <c r="AI9" s="6">
        <v>1047928</v>
      </c>
      <c r="AJ9" s="6">
        <v>1103631</v>
      </c>
      <c r="AK9" s="6">
        <v>1076323</v>
      </c>
      <c r="AL9" s="6">
        <v>1119480</v>
      </c>
      <c r="AM9" s="6">
        <v>1094885</v>
      </c>
      <c r="AN9" s="6">
        <v>1247473</v>
      </c>
      <c r="AO9" s="6">
        <v>1077219</v>
      </c>
      <c r="AP9" s="6">
        <v>996494</v>
      </c>
      <c r="AQ9" s="6">
        <v>1092847</v>
      </c>
      <c r="AR9" s="6">
        <v>1067297</v>
      </c>
      <c r="AS9" s="6">
        <v>1101549</v>
      </c>
      <c r="AT9" s="6">
        <v>1097158</v>
      </c>
      <c r="AU9" s="6">
        <v>1120652</v>
      </c>
      <c r="AV9" s="6">
        <v>1146925</v>
      </c>
      <c r="AW9" s="6">
        <v>1089840</v>
      </c>
      <c r="AX9" s="6">
        <v>1131273</v>
      </c>
      <c r="AY9" s="6">
        <v>1119348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</row>
    <row r="10" spans="1:64" s="10" customFormat="1" x14ac:dyDescent="0.25">
      <c r="A10" s="8">
        <v>112</v>
      </c>
      <c r="B10" s="8" t="s">
        <v>175</v>
      </c>
      <c r="C10" s="8" t="s">
        <v>176</v>
      </c>
      <c r="D10" s="8" t="s">
        <v>28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1247498</v>
      </c>
      <c r="BA10" s="6">
        <v>1088479</v>
      </c>
      <c r="BB10" s="6">
        <v>1013585</v>
      </c>
      <c r="BC10" s="6">
        <v>1141929</v>
      </c>
      <c r="BD10" s="6">
        <v>1075302</v>
      </c>
      <c r="BE10" s="6">
        <v>1141293</v>
      </c>
      <c r="BF10" s="6">
        <v>1117738</v>
      </c>
      <c r="BG10" s="6">
        <v>1113533</v>
      </c>
      <c r="BH10" s="6">
        <v>1170456</v>
      </c>
      <c r="BI10" s="6">
        <v>1109877</v>
      </c>
      <c r="BJ10" s="6">
        <v>1131615</v>
      </c>
      <c r="BK10" s="6">
        <v>1097962</v>
      </c>
      <c r="BL10" s="6">
        <v>1245613</v>
      </c>
    </row>
    <row r="11" spans="1:64" x14ac:dyDescent="0.25">
      <c r="A11" s="1">
        <v>70</v>
      </c>
      <c r="B11" s="3" t="s">
        <v>100</v>
      </c>
      <c r="C11" s="3" t="s">
        <v>101</v>
      </c>
      <c r="D11" s="3" t="s">
        <v>102</v>
      </c>
      <c r="E11" s="6">
        <v>109202</v>
      </c>
      <c r="F11" s="6">
        <v>100594</v>
      </c>
      <c r="G11" s="6">
        <v>112870</v>
      </c>
      <c r="H11" s="6">
        <v>110187</v>
      </c>
      <c r="I11" s="6">
        <v>107831</v>
      </c>
      <c r="J11" s="6">
        <v>105540</v>
      </c>
      <c r="K11" s="6">
        <v>113205</v>
      </c>
      <c r="L11" s="6">
        <v>109642</v>
      </c>
      <c r="M11" s="6">
        <v>104981</v>
      </c>
      <c r="N11" s="6">
        <v>108231</v>
      </c>
      <c r="O11" s="6">
        <v>100211</v>
      </c>
      <c r="P11" s="6">
        <v>113532</v>
      </c>
      <c r="Q11" s="6">
        <v>111699</v>
      </c>
      <c r="R11" s="6">
        <v>100818</v>
      </c>
      <c r="S11" s="6">
        <v>112188</v>
      </c>
      <c r="T11" s="6">
        <v>109838</v>
      </c>
      <c r="U11" s="6">
        <v>109100</v>
      </c>
      <c r="V11" s="6">
        <v>110744</v>
      </c>
      <c r="W11" s="6">
        <v>115859</v>
      </c>
      <c r="X11" s="6">
        <v>112491</v>
      </c>
      <c r="Y11" s="6">
        <v>109173</v>
      </c>
      <c r="Z11" s="6">
        <v>120348</v>
      </c>
      <c r="AA11" s="6">
        <v>112816</v>
      </c>
      <c r="AB11" s="6">
        <v>124717</v>
      </c>
      <c r="AC11" s="6">
        <v>116947</v>
      </c>
      <c r="AD11" s="6">
        <v>109844</v>
      </c>
      <c r="AE11" s="6">
        <v>119595</v>
      </c>
      <c r="AF11" s="6">
        <v>112577</v>
      </c>
      <c r="AG11" s="6">
        <v>111040</v>
      </c>
      <c r="AH11" s="6">
        <v>112857</v>
      </c>
      <c r="AI11" s="6">
        <v>115163</v>
      </c>
      <c r="AJ11" s="6">
        <v>118406</v>
      </c>
      <c r="AK11" s="6">
        <v>114666</v>
      </c>
      <c r="AL11" s="6">
        <v>116168</v>
      </c>
      <c r="AM11" s="6">
        <v>114654</v>
      </c>
      <c r="AN11" s="6">
        <v>128365</v>
      </c>
      <c r="AO11" s="6">
        <v>120043</v>
      </c>
      <c r="AP11" s="6">
        <v>112217</v>
      </c>
      <c r="AQ11" s="6">
        <v>121321</v>
      </c>
      <c r="AR11" s="6">
        <v>115142</v>
      </c>
      <c r="AS11" s="6">
        <v>116553</v>
      </c>
      <c r="AT11" s="6">
        <v>116578</v>
      </c>
      <c r="AU11" s="6">
        <v>115777</v>
      </c>
      <c r="AV11" s="6">
        <v>119746</v>
      </c>
      <c r="AW11" s="6">
        <v>114755</v>
      </c>
      <c r="AX11" s="6">
        <v>114142</v>
      </c>
      <c r="AY11" s="6">
        <v>109888</v>
      </c>
      <c r="AZ11" s="6">
        <v>119510</v>
      </c>
      <c r="BA11" s="6">
        <v>114486</v>
      </c>
      <c r="BB11" s="6">
        <v>104573</v>
      </c>
      <c r="BC11" s="6">
        <v>114730</v>
      </c>
      <c r="BD11" s="6">
        <v>113303</v>
      </c>
      <c r="BE11" s="6">
        <v>110741</v>
      </c>
      <c r="BF11" s="6">
        <v>109256</v>
      </c>
      <c r="BG11" s="6">
        <v>112698</v>
      </c>
      <c r="BH11" s="6">
        <v>110426</v>
      </c>
      <c r="BI11" s="6">
        <v>104440</v>
      </c>
      <c r="BJ11" s="6">
        <v>112553</v>
      </c>
      <c r="BK11" s="6">
        <v>107473</v>
      </c>
      <c r="BL11" s="6">
        <v>119082</v>
      </c>
    </row>
    <row r="12" spans="1:64" x14ac:dyDescent="0.25">
      <c r="A12" s="1">
        <v>10</v>
      </c>
      <c r="B12" s="3" t="s">
        <v>17</v>
      </c>
      <c r="C12" s="3" t="s">
        <v>18</v>
      </c>
      <c r="D12" s="3" t="s">
        <v>235</v>
      </c>
      <c r="E12" s="6">
        <v>398601</v>
      </c>
      <c r="F12" s="6">
        <v>284543</v>
      </c>
      <c r="G12" s="6">
        <v>338302</v>
      </c>
      <c r="H12" s="6">
        <v>364724</v>
      </c>
      <c r="I12" s="6">
        <v>331023</v>
      </c>
      <c r="J12" s="6">
        <v>360957</v>
      </c>
      <c r="K12" s="6">
        <v>345213</v>
      </c>
      <c r="L12" s="6">
        <v>359932</v>
      </c>
      <c r="M12" s="6">
        <v>318221</v>
      </c>
      <c r="N12" s="6">
        <v>368015</v>
      </c>
      <c r="O12" s="6">
        <v>352255</v>
      </c>
      <c r="P12" s="6">
        <v>417798</v>
      </c>
      <c r="Q12" s="6">
        <v>419190</v>
      </c>
      <c r="R12" s="6">
        <v>294062</v>
      </c>
      <c r="S12" s="6">
        <v>341021</v>
      </c>
      <c r="T12" s="6">
        <v>340902</v>
      </c>
      <c r="U12" s="6">
        <v>344739</v>
      </c>
      <c r="V12" s="6">
        <v>383301</v>
      </c>
      <c r="W12" s="6">
        <v>385865</v>
      </c>
      <c r="X12" s="6">
        <v>380891</v>
      </c>
      <c r="Y12" s="6">
        <v>335638</v>
      </c>
      <c r="Z12" s="6">
        <v>394850</v>
      </c>
      <c r="AA12" s="6">
        <v>368315</v>
      </c>
      <c r="AB12" s="6">
        <v>447213</v>
      </c>
      <c r="AC12" s="6">
        <v>438592</v>
      </c>
      <c r="AD12" s="6">
        <v>313211</v>
      </c>
      <c r="AE12" s="6">
        <v>374909</v>
      </c>
      <c r="AF12" s="6">
        <v>304595</v>
      </c>
      <c r="AG12" s="6">
        <v>340728</v>
      </c>
      <c r="AH12" s="6">
        <v>336393</v>
      </c>
      <c r="AI12" s="6">
        <v>356542</v>
      </c>
      <c r="AJ12" s="6">
        <v>343649</v>
      </c>
      <c r="AK12" s="6">
        <v>317735</v>
      </c>
      <c r="AL12" s="6">
        <v>370791</v>
      </c>
      <c r="AM12" s="6">
        <v>351529</v>
      </c>
      <c r="AN12" s="6">
        <v>416282</v>
      </c>
      <c r="AO12" s="6">
        <v>425435</v>
      </c>
      <c r="AP12" s="6">
        <v>293575</v>
      </c>
      <c r="AQ12" s="6">
        <v>337402</v>
      </c>
      <c r="AR12" s="6">
        <v>364911</v>
      </c>
      <c r="AS12" s="6">
        <v>329019</v>
      </c>
      <c r="AT12" s="6">
        <v>335360</v>
      </c>
      <c r="AU12" s="6">
        <v>338691</v>
      </c>
      <c r="AV12" s="6">
        <v>355197</v>
      </c>
      <c r="AW12" s="6">
        <v>313881</v>
      </c>
      <c r="AX12" s="6">
        <v>366877</v>
      </c>
      <c r="AY12" s="6">
        <v>347121</v>
      </c>
      <c r="AZ12" s="6">
        <v>432254</v>
      </c>
      <c r="BA12" s="6">
        <v>424730</v>
      </c>
      <c r="BB12" s="6">
        <v>267356</v>
      </c>
      <c r="BC12" s="6">
        <v>362131</v>
      </c>
      <c r="BD12" s="6">
        <v>319917</v>
      </c>
      <c r="BE12" s="6">
        <v>309874</v>
      </c>
      <c r="BF12" s="6">
        <v>347000</v>
      </c>
      <c r="BG12" s="6">
        <v>341511</v>
      </c>
      <c r="BH12" s="6">
        <v>299331</v>
      </c>
      <c r="BI12" s="6">
        <v>283197</v>
      </c>
      <c r="BJ12" s="6">
        <v>348864</v>
      </c>
      <c r="BK12" s="6">
        <v>344823</v>
      </c>
      <c r="BL12" s="6">
        <v>419129</v>
      </c>
    </row>
    <row r="13" spans="1:64" x14ac:dyDescent="0.25">
      <c r="A13" s="1">
        <v>109</v>
      </c>
      <c r="B13" s="3" t="s">
        <v>170</v>
      </c>
      <c r="C13" s="3" t="s">
        <v>171</v>
      </c>
      <c r="D13" s="3" t="s">
        <v>172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</row>
    <row r="14" spans="1:64" x14ac:dyDescent="0.25">
      <c r="A14" s="1">
        <v>115</v>
      </c>
      <c r="B14" s="3" t="s">
        <v>177</v>
      </c>
      <c r="C14" s="3" t="s">
        <v>178</v>
      </c>
      <c r="D14" s="3" t="s">
        <v>179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3547</v>
      </c>
      <c r="AJ14" s="6">
        <v>49557</v>
      </c>
      <c r="AK14" s="6">
        <v>42476</v>
      </c>
      <c r="AL14" s="6">
        <v>50342</v>
      </c>
      <c r="AM14" s="6">
        <v>51221</v>
      </c>
      <c r="AN14" s="6">
        <v>66137</v>
      </c>
      <c r="AO14" s="6">
        <v>93993</v>
      </c>
      <c r="AP14" s="6">
        <v>44188</v>
      </c>
      <c r="AQ14" s="6">
        <v>49278</v>
      </c>
      <c r="AR14" s="6">
        <v>72143</v>
      </c>
      <c r="AS14" s="6">
        <v>43842</v>
      </c>
      <c r="AT14" s="6">
        <v>52479</v>
      </c>
      <c r="AU14" s="6">
        <v>53262</v>
      </c>
      <c r="AV14" s="6">
        <v>49658</v>
      </c>
      <c r="AW14" s="6">
        <v>41637</v>
      </c>
      <c r="AX14" s="6">
        <v>48107</v>
      </c>
      <c r="AY14" s="6">
        <v>47349</v>
      </c>
      <c r="AZ14" s="6">
        <v>62243</v>
      </c>
      <c r="BA14" s="6">
        <v>89593</v>
      </c>
      <c r="BB14" s="6">
        <v>40293</v>
      </c>
      <c r="BC14" s="6">
        <v>61388</v>
      </c>
      <c r="BD14" s="6">
        <v>43498</v>
      </c>
      <c r="BE14" s="6">
        <v>42288</v>
      </c>
      <c r="BF14" s="6">
        <v>55883</v>
      </c>
      <c r="BG14" s="6">
        <v>54090</v>
      </c>
      <c r="BH14" s="6">
        <v>46704</v>
      </c>
      <c r="BI14" s="6">
        <v>39637</v>
      </c>
      <c r="BJ14" s="6">
        <v>46811</v>
      </c>
      <c r="BK14" s="6">
        <v>44025</v>
      </c>
      <c r="BL14" s="6">
        <v>60317</v>
      </c>
    </row>
    <row r="15" spans="1:64" x14ac:dyDescent="0.25">
      <c r="A15" s="1">
        <v>8</v>
      </c>
      <c r="B15" s="3" t="s">
        <v>13</v>
      </c>
      <c r="C15" s="3" t="s">
        <v>14</v>
      </c>
      <c r="D15" s="3" t="s">
        <v>237</v>
      </c>
      <c r="E15" s="6">
        <v>224888</v>
      </c>
      <c r="F15" s="6">
        <v>120383</v>
      </c>
      <c r="G15" s="6">
        <v>145295</v>
      </c>
      <c r="H15" s="6">
        <v>176230</v>
      </c>
      <c r="I15" s="6">
        <v>131531</v>
      </c>
      <c r="J15" s="6">
        <v>172028</v>
      </c>
      <c r="K15" s="6">
        <v>154292</v>
      </c>
      <c r="L15" s="6">
        <v>168312</v>
      </c>
      <c r="M15" s="6">
        <v>134469</v>
      </c>
      <c r="N15" s="6">
        <v>168944</v>
      </c>
      <c r="O15" s="6">
        <v>149868</v>
      </c>
      <c r="P15" s="6">
        <v>227832</v>
      </c>
      <c r="Q15" s="6">
        <v>245170</v>
      </c>
      <c r="R15" s="6">
        <v>131099</v>
      </c>
      <c r="S15" s="6">
        <v>162746</v>
      </c>
      <c r="T15" s="6">
        <v>171929</v>
      </c>
      <c r="U15" s="6">
        <v>166467</v>
      </c>
      <c r="V15" s="6">
        <v>200588</v>
      </c>
      <c r="W15" s="6">
        <v>184181</v>
      </c>
      <c r="X15" s="6">
        <v>193742</v>
      </c>
      <c r="Y15" s="6">
        <v>152850</v>
      </c>
      <c r="Z15" s="6">
        <v>195163</v>
      </c>
      <c r="AA15" s="6">
        <v>179680</v>
      </c>
      <c r="AB15" s="6">
        <v>262196</v>
      </c>
      <c r="AC15" s="6">
        <v>275069</v>
      </c>
      <c r="AD15" s="6">
        <v>142564</v>
      </c>
      <c r="AE15" s="6">
        <v>208017</v>
      </c>
      <c r="AF15" s="6">
        <v>143959</v>
      </c>
      <c r="AG15" s="6">
        <v>175161</v>
      </c>
      <c r="AH15" s="6">
        <v>184340</v>
      </c>
      <c r="AI15" s="6">
        <v>211533</v>
      </c>
      <c r="AJ15" s="6">
        <v>186802</v>
      </c>
      <c r="AK15" s="6">
        <v>159077</v>
      </c>
      <c r="AL15" s="6">
        <v>200521</v>
      </c>
      <c r="AM15" s="6">
        <v>191994</v>
      </c>
      <c r="AN15" s="6">
        <v>258301</v>
      </c>
      <c r="AO15" s="6">
        <v>286669</v>
      </c>
      <c r="AP15" s="6">
        <v>148527</v>
      </c>
      <c r="AQ15" s="6">
        <v>171179</v>
      </c>
      <c r="AR15" s="6">
        <v>212898</v>
      </c>
      <c r="AS15" s="6">
        <v>169956</v>
      </c>
      <c r="AT15" s="6">
        <v>207393</v>
      </c>
      <c r="AU15" s="6">
        <v>212554</v>
      </c>
      <c r="AV15" s="6">
        <v>203939</v>
      </c>
      <c r="AW15" s="6">
        <v>165310</v>
      </c>
      <c r="AX15" s="6">
        <v>208133</v>
      </c>
      <c r="AY15" s="6">
        <v>195904</v>
      </c>
      <c r="AZ15" s="6">
        <v>282903</v>
      </c>
      <c r="BA15" s="6">
        <v>297080</v>
      </c>
      <c r="BB15" s="6">
        <v>153451</v>
      </c>
      <c r="BC15" s="6">
        <v>219167</v>
      </c>
      <c r="BD15" s="6">
        <v>176086</v>
      </c>
      <c r="BE15" s="6">
        <v>176462</v>
      </c>
      <c r="BF15" s="6">
        <v>214556</v>
      </c>
      <c r="BG15" s="6">
        <v>226198</v>
      </c>
      <c r="BH15" s="6">
        <v>207882</v>
      </c>
      <c r="BI15" s="6">
        <v>173691</v>
      </c>
      <c r="BJ15" s="6">
        <v>208560</v>
      </c>
      <c r="BK15" s="6">
        <v>203104</v>
      </c>
      <c r="BL15" s="6">
        <v>282390</v>
      </c>
    </row>
    <row r="16" spans="1:64" x14ac:dyDescent="0.25">
      <c r="A16" s="1">
        <v>143</v>
      </c>
      <c r="B16" s="3" t="s">
        <v>212</v>
      </c>
      <c r="C16" s="3" t="s">
        <v>213</v>
      </c>
      <c r="D16" s="3" t="s">
        <v>214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33197</v>
      </c>
      <c r="Y16" s="6">
        <v>74864</v>
      </c>
      <c r="Z16" s="6">
        <v>84112</v>
      </c>
      <c r="AA16" s="6">
        <v>79638</v>
      </c>
      <c r="AB16" s="6">
        <v>96889</v>
      </c>
      <c r="AC16" s="6">
        <v>97215</v>
      </c>
      <c r="AD16" s="6">
        <v>75682</v>
      </c>
      <c r="AE16" s="6">
        <v>91891</v>
      </c>
      <c r="AF16" s="6">
        <v>72393</v>
      </c>
      <c r="AG16" s="6">
        <v>79594</v>
      </c>
      <c r="AH16" s="6">
        <v>76838</v>
      </c>
      <c r="AI16" s="6">
        <v>80567</v>
      </c>
      <c r="AJ16" s="6">
        <v>80841</v>
      </c>
      <c r="AK16" s="6">
        <v>75210</v>
      </c>
      <c r="AL16" s="6">
        <v>81702</v>
      </c>
      <c r="AM16" s="6">
        <v>78547</v>
      </c>
      <c r="AN16" s="6">
        <v>95384</v>
      </c>
      <c r="AO16" s="6">
        <v>94195</v>
      </c>
      <c r="AP16" s="6">
        <v>71657</v>
      </c>
      <c r="AQ16" s="6">
        <v>77186</v>
      </c>
      <c r="AR16" s="6">
        <v>86347</v>
      </c>
      <c r="AS16" s="6">
        <v>77171</v>
      </c>
      <c r="AT16" s="6">
        <v>80663</v>
      </c>
      <c r="AU16" s="6">
        <v>82001</v>
      </c>
      <c r="AV16" s="6">
        <v>79233</v>
      </c>
      <c r="AW16" s="6">
        <v>73119</v>
      </c>
      <c r="AX16" s="6">
        <v>79983</v>
      </c>
      <c r="AY16" s="6">
        <v>79683</v>
      </c>
      <c r="AZ16" s="6">
        <v>95836</v>
      </c>
      <c r="BA16" s="6">
        <v>92602</v>
      </c>
      <c r="BB16" s="6">
        <v>68229</v>
      </c>
      <c r="BC16" s="6">
        <v>83621</v>
      </c>
      <c r="BD16" s="6">
        <v>76497</v>
      </c>
      <c r="BE16" s="6">
        <v>71417</v>
      </c>
      <c r="BF16" s="6">
        <v>71198</v>
      </c>
      <c r="BG16" s="6">
        <v>78782</v>
      </c>
      <c r="BH16" s="6">
        <v>76131</v>
      </c>
      <c r="BI16" s="6">
        <v>71013</v>
      </c>
      <c r="BJ16" s="6">
        <v>77759</v>
      </c>
      <c r="BK16" s="6">
        <v>76433</v>
      </c>
      <c r="BL16" s="6">
        <v>92234</v>
      </c>
    </row>
    <row r="17" spans="1:64" x14ac:dyDescent="0.25">
      <c r="A17" s="1">
        <v>110</v>
      </c>
      <c r="B17" s="3" t="s">
        <v>170</v>
      </c>
      <c r="C17" s="3" t="s">
        <v>171</v>
      </c>
      <c r="D17" s="3" t="s">
        <v>173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3637</v>
      </c>
      <c r="BB17" s="6">
        <v>8251</v>
      </c>
      <c r="BC17" s="6">
        <v>8460</v>
      </c>
      <c r="BD17" s="6">
        <v>6788</v>
      </c>
      <c r="BE17" s="6">
        <v>6573</v>
      </c>
      <c r="BF17" s="6">
        <v>8637</v>
      </c>
      <c r="BG17" s="6">
        <v>9907</v>
      </c>
      <c r="BH17" s="6">
        <v>11241</v>
      </c>
      <c r="BI17" s="6">
        <v>10839</v>
      </c>
      <c r="BJ17" s="6">
        <v>13427</v>
      </c>
      <c r="BK17" s="6">
        <v>13785</v>
      </c>
      <c r="BL17" s="6">
        <v>22697</v>
      </c>
    </row>
    <row r="18" spans="1:64" x14ac:dyDescent="0.25">
      <c r="A18" s="1">
        <v>67</v>
      </c>
      <c r="B18" s="3" t="s">
        <v>95</v>
      </c>
      <c r="C18" s="3" t="s">
        <v>96</v>
      </c>
      <c r="D18" s="3" t="s">
        <v>97</v>
      </c>
      <c r="E18" s="6">
        <v>67817</v>
      </c>
      <c r="F18" s="6">
        <v>43655</v>
      </c>
      <c r="G18" s="6">
        <v>47269</v>
      </c>
      <c r="H18" s="6">
        <v>54671</v>
      </c>
      <c r="I18" s="6">
        <v>44865</v>
      </c>
      <c r="J18" s="6">
        <v>50259</v>
      </c>
      <c r="K18" s="6">
        <v>57521</v>
      </c>
      <c r="L18" s="6">
        <v>54601</v>
      </c>
      <c r="M18" s="6">
        <v>46756</v>
      </c>
      <c r="N18" s="6">
        <v>52681</v>
      </c>
      <c r="O18" s="6">
        <v>49700</v>
      </c>
      <c r="P18" s="6">
        <v>64772</v>
      </c>
      <c r="Q18" s="6">
        <v>73938</v>
      </c>
      <c r="R18" s="6">
        <v>45961</v>
      </c>
      <c r="S18" s="6">
        <v>51483</v>
      </c>
      <c r="T18" s="6">
        <v>56831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</row>
    <row r="19" spans="1:64" x14ac:dyDescent="0.25">
      <c r="A19" s="1">
        <v>152</v>
      </c>
      <c r="B19" s="3" t="s">
        <v>228</v>
      </c>
      <c r="C19" s="3" t="s">
        <v>229</v>
      </c>
      <c r="D19" s="3" t="s">
        <v>230</v>
      </c>
      <c r="E19" s="6">
        <v>284577</v>
      </c>
      <c r="F19" s="6">
        <v>208941</v>
      </c>
      <c r="G19" s="6">
        <v>236367</v>
      </c>
      <c r="H19" s="6">
        <v>260080</v>
      </c>
      <c r="I19" s="6">
        <v>254481</v>
      </c>
      <c r="J19" s="6">
        <v>265546</v>
      </c>
      <c r="K19" s="6">
        <v>250496</v>
      </c>
      <c r="L19" s="6">
        <v>265160</v>
      </c>
      <c r="M19" s="6">
        <v>229286</v>
      </c>
      <c r="N19" s="6">
        <v>264958</v>
      </c>
      <c r="O19" s="6">
        <v>260279</v>
      </c>
      <c r="P19" s="6">
        <v>301745</v>
      </c>
      <c r="Q19" s="6">
        <v>305992</v>
      </c>
      <c r="R19" s="6">
        <v>219941</v>
      </c>
      <c r="S19" s="6">
        <v>249441</v>
      </c>
      <c r="T19" s="6">
        <v>267239</v>
      </c>
      <c r="U19" s="6">
        <v>260961</v>
      </c>
      <c r="V19" s="6">
        <v>286119</v>
      </c>
      <c r="W19" s="6">
        <v>274330</v>
      </c>
      <c r="X19" s="6">
        <v>282357</v>
      </c>
      <c r="Y19" s="6">
        <v>240936</v>
      </c>
      <c r="Z19" s="6">
        <v>286899</v>
      </c>
      <c r="AA19" s="6">
        <v>272654</v>
      </c>
      <c r="AB19" s="6">
        <v>330610</v>
      </c>
      <c r="AC19" s="6">
        <v>327300</v>
      </c>
      <c r="AD19" s="6">
        <v>238905</v>
      </c>
      <c r="AE19" s="6">
        <v>300428</v>
      </c>
      <c r="AF19" s="6">
        <v>243465</v>
      </c>
      <c r="AG19" s="6">
        <v>273766</v>
      </c>
      <c r="AH19" s="6">
        <v>266477</v>
      </c>
      <c r="AI19" s="6">
        <v>277834</v>
      </c>
      <c r="AJ19" s="6">
        <v>285758</v>
      </c>
      <c r="AK19" s="6">
        <v>252833</v>
      </c>
      <c r="AL19" s="6">
        <v>293486</v>
      </c>
      <c r="AM19" s="6">
        <v>275877</v>
      </c>
      <c r="AN19" s="6">
        <v>321201</v>
      </c>
      <c r="AO19" s="6">
        <v>324035</v>
      </c>
      <c r="AP19" s="6">
        <v>234534</v>
      </c>
      <c r="AQ19" s="6">
        <v>259241</v>
      </c>
      <c r="AR19" s="6">
        <v>292700</v>
      </c>
      <c r="AS19" s="6">
        <v>257951</v>
      </c>
      <c r="AT19" s="6">
        <v>274204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</row>
    <row r="20" spans="1:64" x14ac:dyDescent="0.25">
      <c r="A20" s="1">
        <v>129</v>
      </c>
      <c r="B20" s="3" t="s">
        <v>195</v>
      </c>
      <c r="C20" s="3" t="s">
        <v>196</v>
      </c>
      <c r="D20" s="3" t="s">
        <v>197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</v>
      </c>
      <c r="AD20" s="6">
        <v>0</v>
      </c>
      <c r="AE20" s="6">
        <v>0</v>
      </c>
      <c r="AF20" s="6">
        <v>21976</v>
      </c>
      <c r="AG20" s="6">
        <v>49665</v>
      </c>
      <c r="AH20" s="6">
        <v>49647</v>
      </c>
      <c r="AI20" s="6">
        <v>46622</v>
      </c>
      <c r="AJ20" s="6">
        <v>50142</v>
      </c>
      <c r="AK20" s="6">
        <v>48386</v>
      </c>
      <c r="AL20" s="6">
        <v>49909</v>
      </c>
      <c r="AM20" s="6">
        <v>45965</v>
      </c>
      <c r="AN20" s="6">
        <v>48549</v>
      </c>
      <c r="AO20" s="6">
        <v>50731</v>
      </c>
      <c r="AP20" s="6">
        <v>39874</v>
      </c>
      <c r="AQ20" s="6">
        <v>47595</v>
      </c>
      <c r="AR20" s="6">
        <v>44290</v>
      </c>
      <c r="AS20" s="6">
        <v>45402</v>
      </c>
      <c r="AT20" s="6">
        <v>43182</v>
      </c>
      <c r="AU20" s="6">
        <v>45724</v>
      </c>
      <c r="AV20" s="6">
        <v>46728</v>
      </c>
      <c r="AW20" s="6">
        <v>43638</v>
      </c>
      <c r="AX20" s="6">
        <v>45390</v>
      </c>
      <c r="AY20" s="6">
        <v>46533</v>
      </c>
      <c r="AZ20" s="6">
        <v>49919</v>
      </c>
      <c r="BA20" s="6">
        <v>50357</v>
      </c>
      <c r="BB20" s="6">
        <v>39248</v>
      </c>
      <c r="BC20" s="6">
        <v>45629</v>
      </c>
      <c r="BD20" s="6">
        <v>44563</v>
      </c>
      <c r="BE20" s="6">
        <v>47445</v>
      </c>
      <c r="BF20" s="6">
        <v>44219</v>
      </c>
      <c r="BG20" s="6">
        <v>45197</v>
      </c>
      <c r="BH20" s="6">
        <v>45865</v>
      </c>
      <c r="BI20" s="6">
        <v>44774</v>
      </c>
      <c r="BJ20" s="6">
        <v>50777</v>
      </c>
      <c r="BK20" s="6">
        <v>50660</v>
      </c>
      <c r="BL20" s="6">
        <v>54076</v>
      </c>
    </row>
    <row r="21" spans="1:64" s="10" customFormat="1" x14ac:dyDescent="0.25">
      <c r="A21" s="1">
        <v>38</v>
      </c>
      <c r="B21" s="3" t="s">
        <v>59</v>
      </c>
      <c r="C21" s="3" t="s">
        <v>60</v>
      </c>
      <c r="D21" s="3" t="s">
        <v>61</v>
      </c>
      <c r="E21" s="6">
        <v>154651</v>
      </c>
      <c r="F21" s="6">
        <v>144205</v>
      </c>
      <c r="G21" s="6">
        <v>158188</v>
      </c>
      <c r="H21" s="6">
        <v>154615</v>
      </c>
      <c r="I21" s="6">
        <v>162314</v>
      </c>
      <c r="J21" s="6">
        <v>151249</v>
      </c>
      <c r="K21" s="6">
        <v>164740</v>
      </c>
      <c r="L21" s="6">
        <v>164333</v>
      </c>
      <c r="M21" s="6">
        <v>156285</v>
      </c>
      <c r="N21" s="6">
        <v>163388</v>
      </c>
      <c r="O21" s="6">
        <v>156666</v>
      </c>
      <c r="P21" s="6">
        <v>181738</v>
      </c>
      <c r="Q21" s="6">
        <v>161923</v>
      </c>
      <c r="R21" s="6">
        <v>150848</v>
      </c>
      <c r="S21" s="6">
        <v>174682</v>
      </c>
      <c r="T21" s="6">
        <v>178724</v>
      </c>
      <c r="U21" s="6">
        <v>191289</v>
      </c>
      <c r="V21" s="6">
        <v>197030</v>
      </c>
      <c r="W21" s="6">
        <v>218105</v>
      </c>
      <c r="X21" s="6">
        <v>210892</v>
      </c>
      <c r="Y21" s="6">
        <v>202058</v>
      </c>
      <c r="Z21" s="6">
        <v>212934</v>
      </c>
      <c r="AA21" s="6">
        <v>200265</v>
      </c>
      <c r="AB21" s="6">
        <v>221845</v>
      </c>
      <c r="AC21" s="6">
        <v>193386</v>
      </c>
      <c r="AD21" s="6">
        <v>187246</v>
      </c>
      <c r="AE21" s="6">
        <v>192522</v>
      </c>
      <c r="AF21" s="6">
        <v>182076</v>
      </c>
      <c r="AG21" s="6">
        <v>191077</v>
      </c>
      <c r="AH21" s="6">
        <v>189967</v>
      </c>
      <c r="AI21" s="6">
        <v>194543</v>
      </c>
      <c r="AJ21" s="6">
        <v>196328</v>
      </c>
      <c r="AK21" s="6">
        <v>187201</v>
      </c>
      <c r="AL21" s="6">
        <v>190355</v>
      </c>
      <c r="AM21" s="6">
        <v>189018</v>
      </c>
      <c r="AN21" s="6">
        <v>214907</v>
      </c>
      <c r="AO21" s="6">
        <v>185391</v>
      </c>
      <c r="AP21" s="6">
        <v>173832</v>
      </c>
      <c r="AQ21" s="6">
        <v>191149</v>
      </c>
      <c r="AR21" s="6">
        <v>179839</v>
      </c>
      <c r="AS21" s="6">
        <v>188959</v>
      </c>
      <c r="AT21" s="6">
        <v>191107</v>
      </c>
      <c r="AU21" s="6">
        <v>190810</v>
      </c>
      <c r="AV21" s="6">
        <v>190978</v>
      </c>
      <c r="AW21" s="6">
        <v>174896</v>
      </c>
      <c r="AX21" s="6">
        <v>176829</v>
      </c>
      <c r="AY21" s="6">
        <v>180142</v>
      </c>
      <c r="AZ21" s="6">
        <v>204181</v>
      </c>
      <c r="BA21" s="6">
        <v>177434</v>
      </c>
      <c r="BB21" s="6">
        <v>163238</v>
      </c>
      <c r="BC21" s="6">
        <v>181611</v>
      </c>
      <c r="BD21" s="6">
        <v>176809</v>
      </c>
      <c r="BE21" s="6">
        <v>184195</v>
      </c>
      <c r="BF21" s="6">
        <v>183256</v>
      </c>
      <c r="BG21" s="6">
        <v>188432</v>
      </c>
      <c r="BH21" s="6">
        <v>193895</v>
      </c>
      <c r="BI21" s="6">
        <v>187396</v>
      </c>
      <c r="BJ21" s="6">
        <v>195956</v>
      </c>
      <c r="BK21" s="6">
        <v>0</v>
      </c>
      <c r="BL21" s="6">
        <v>0</v>
      </c>
    </row>
    <row r="22" spans="1:64" s="10" customFormat="1" x14ac:dyDescent="0.25">
      <c r="A22" s="1">
        <v>66</v>
      </c>
      <c r="B22" s="3" t="s">
        <v>92</v>
      </c>
      <c r="C22" s="3" t="s">
        <v>93</v>
      </c>
      <c r="D22" s="3" t="s">
        <v>94</v>
      </c>
      <c r="E22" s="6">
        <v>301144</v>
      </c>
      <c r="F22" s="6">
        <v>243489</v>
      </c>
      <c r="G22" s="6">
        <v>270925</v>
      </c>
      <c r="H22" s="6">
        <v>283507</v>
      </c>
      <c r="I22" s="6">
        <v>272603</v>
      </c>
      <c r="J22" s="6">
        <v>271049</v>
      </c>
      <c r="K22" s="6">
        <v>287506</v>
      </c>
      <c r="L22" s="6">
        <v>292085</v>
      </c>
      <c r="M22" s="6">
        <v>268419</v>
      </c>
      <c r="N22" s="6">
        <v>294105</v>
      </c>
      <c r="O22" s="6">
        <v>286953</v>
      </c>
      <c r="P22" s="6">
        <v>335334</v>
      </c>
      <c r="Q22" s="6">
        <v>327833</v>
      </c>
      <c r="R22" s="6">
        <v>259947</v>
      </c>
      <c r="S22" s="6">
        <v>285783</v>
      </c>
      <c r="T22" s="6">
        <v>293892</v>
      </c>
      <c r="U22" s="6">
        <v>293130</v>
      </c>
      <c r="V22" s="6">
        <v>300403</v>
      </c>
      <c r="W22" s="6">
        <v>314756</v>
      </c>
      <c r="X22" s="6">
        <v>316048</v>
      </c>
      <c r="Y22" s="6">
        <v>293920</v>
      </c>
      <c r="Z22" s="6">
        <v>314452</v>
      </c>
      <c r="AA22" s="6">
        <v>307040</v>
      </c>
      <c r="AB22" s="6">
        <v>360845</v>
      </c>
      <c r="AC22" s="6">
        <v>356980</v>
      </c>
      <c r="AD22" s="6">
        <v>285596</v>
      </c>
      <c r="AE22" s="6">
        <v>331024</v>
      </c>
      <c r="AF22" s="6">
        <v>290987</v>
      </c>
      <c r="AG22" s="6">
        <v>310210</v>
      </c>
      <c r="AH22" s="6">
        <v>293582</v>
      </c>
      <c r="AI22" s="6">
        <v>317057</v>
      </c>
      <c r="AJ22" s="6">
        <v>338022</v>
      </c>
      <c r="AK22" s="6">
        <v>303469</v>
      </c>
      <c r="AL22" s="6">
        <v>324704</v>
      </c>
      <c r="AM22" s="6">
        <v>320480</v>
      </c>
      <c r="AN22" s="6">
        <v>370572</v>
      </c>
      <c r="AO22" s="6">
        <v>363602</v>
      </c>
      <c r="AP22" s="6">
        <v>280679</v>
      </c>
      <c r="AQ22" s="6">
        <v>310083</v>
      </c>
      <c r="AR22" s="6">
        <v>321846</v>
      </c>
      <c r="AS22" s="6">
        <v>306255</v>
      </c>
      <c r="AT22" s="6">
        <v>316907</v>
      </c>
      <c r="AU22" s="6">
        <v>336180</v>
      </c>
      <c r="AV22" s="6">
        <v>332104</v>
      </c>
      <c r="AW22" s="6">
        <v>301762</v>
      </c>
      <c r="AX22" s="6">
        <v>324844</v>
      </c>
      <c r="AY22" s="6">
        <v>323003</v>
      </c>
      <c r="AZ22" s="6">
        <v>380663</v>
      </c>
      <c r="BA22" s="6">
        <v>365220</v>
      </c>
      <c r="BB22" s="6">
        <v>270068</v>
      </c>
      <c r="BC22" s="6">
        <v>318382</v>
      </c>
      <c r="BD22" s="6">
        <v>297504</v>
      </c>
      <c r="BE22" s="6">
        <v>296904</v>
      </c>
      <c r="BF22" s="6">
        <v>304340</v>
      </c>
      <c r="BG22" s="6">
        <v>329930</v>
      </c>
      <c r="BH22" s="6">
        <v>328785</v>
      </c>
      <c r="BI22" s="6">
        <v>297487</v>
      </c>
      <c r="BJ22" s="6">
        <v>319386</v>
      </c>
      <c r="BK22" s="6">
        <v>314930</v>
      </c>
      <c r="BL22" s="6">
        <v>366352</v>
      </c>
    </row>
    <row r="23" spans="1:64" x14ac:dyDescent="0.25">
      <c r="A23" s="1">
        <v>64</v>
      </c>
      <c r="B23" s="3" t="s">
        <v>88</v>
      </c>
      <c r="C23" s="3" t="s">
        <v>89</v>
      </c>
      <c r="D23" s="3" t="s">
        <v>90</v>
      </c>
      <c r="E23" s="6">
        <v>297468</v>
      </c>
      <c r="F23" s="6">
        <v>207631</v>
      </c>
      <c r="G23" s="6">
        <v>230053</v>
      </c>
      <c r="H23" s="6">
        <v>266398</v>
      </c>
      <c r="I23" s="6">
        <v>232042</v>
      </c>
      <c r="J23" s="6">
        <v>257946</v>
      </c>
      <c r="K23" s="6">
        <v>258938</v>
      </c>
      <c r="L23" s="6">
        <v>257300</v>
      </c>
      <c r="M23" s="6">
        <v>228038</v>
      </c>
      <c r="N23" s="6">
        <v>263537</v>
      </c>
      <c r="O23" s="6">
        <v>262524</v>
      </c>
      <c r="P23" s="6">
        <v>321056</v>
      </c>
      <c r="Q23" s="6">
        <v>320658</v>
      </c>
      <c r="R23" s="6">
        <v>217308</v>
      </c>
      <c r="S23" s="6">
        <v>246674</v>
      </c>
      <c r="T23" s="6">
        <v>259181</v>
      </c>
      <c r="U23" s="6">
        <v>248290</v>
      </c>
      <c r="V23" s="6">
        <v>287260</v>
      </c>
      <c r="W23" s="6">
        <v>279770</v>
      </c>
      <c r="X23" s="6">
        <v>269285</v>
      </c>
      <c r="Y23" s="6">
        <v>244304</v>
      </c>
      <c r="Z23" s="6">
        <v>280259</v>
      </c>
      <c r="AA23" s="6">
        <v>261675</v>
      </c>
      <c r="AB23" s="6">
        <v>344368</v>
      </c>
      <c r="AC23" s="6">
        <v>340038</v>
      </c>
      <c r="AD23" s="6">
        <v>224868</v>
      </c>
      <c r="AE23" s="6">
        <v>290171</v>
      </c>
      <c r="AF23" s="6">
        <v>232048</v>
      </c>
      <c r="AG23" s="6">
        <v>256354</v>
      </c>
      <c r="AH23" s="6">
        <v>255944</v>
      </c>
      <c r="AI23" s="6">
        <v>278906</v>
      </c>
      <c r="AJ23" s="6">
        <v>284510</v>
      </c>
      <c r="AK23" s="6">
        <v>248617</v>
      </c>
      <c r="AL23" s="6">
        <v>282117</v>
      </c>
      <c r="AM23" s="6">
        <v>270470</v>
      </c>
      <c r="AN23" s="6">
        <v>340845</v>
      </c>
      <c r="AO23" s="6">
        <v>341108</v>
      </c>
      <c r="AP23" s="6">
        <v>227161</v>
      </c>
      <c r="AQ23" s="6">
        <v>253904</v>
      </c>
      <c r="AR23" s="6">
        <v>291581</v>
      </c>
      <c r="AS23" s="6">
        <v>239707</v>
      </c>
      <c r="AT23" s="6">
        <v>287821</v>
      </c>
      <c r="AU23" s="6">
        <v>303721</v>
      </c>
      <c r="AV23" s="6">
        <v>284972</v>
      </c>
      <c r="AW23" s="6">
        <v>260399</v>
      </c>
      <c r="AX23" s="6">
        <v>294838</v>
      </c>
      <c r="AY23" s="6">
        <v>271343</v>
      </c>
      <c r="AZ23" s="6">
        <v>350801</v>
      </c>
      <c r="BA23" s="6">
        <v>340259</v>
      </c>
      <c r="BB23" s="6">
        <v>227038</v>
      </c>
      <c r="BC23" s="6">
        <v>286422</v>
      </c>
      <c r="BD23" s="6">
        <v>252995</v>
      </c>
      <c r="BE23" s="6">
        <v>249418</v>
      </c>
      <c r="BF23" s="6">
        <v>282311</v>
      </c>
      <c r="BG23" s="6">
        <v>298503</v>
      </c>
      <c r="BH23" s="6">
        <v>286491</v>
      </c>
      <c r="BI23" s="6">
        <v>258763</v>
      </c>
      <c r="BJ23" s="6">
        <v>297913</v>
      </c>
      <c r="BK23" s="6">
        <v>282679</v>
      </c>
      <c r="BL23" s="6">
        <v>348521</v>
      </c>
    </row>
    <row r="24" spans="1:64" x14ac:dyDescent="0.25">
      <c r="A24" s="8">
        <v>50</v>
      </c>
      <c r="B24" s="8" t="s">
        <v>75</v>
      </c>
      <c r="C24" s="8" t="s">
        <v>76</v>
      </c>
      <c r="D24" s="8" t="s">
        <v>77</v>
      </c>
      <c r="E24" s="6">
        <v>638753</v>
      </c>
      <c r="F24" s="6">
        <v>391017</v>
      </c>
      <c r="G24" s="6">
        <v>460051</v>
      </c>
      <c r="H24" s="6">
        <v>529433</v>
      </c>
      <c r="I24" s="6">
        <v>437796</v>
      </c>
      <c r="J24" s="6">
        <v>574910</v>
      </c>
      <c r="K24" s="6">
        <v>525310</v>
      </c>
      <c r="L24" s="6">
        <v>535099</v>
      </c>
      <c r="M24" s="6">
        <v>451346</v>
      </c>
      <c r="N24" s="6">
        <v>557594</v>
      </c>
      <c r="O24" s="6">
        <v>534705</v>
      </c>
      <c r="P24" s="6">
        <v>656464</v>
      </c>
      <c r="Q24" s="6">
        <v>692654</v>
      </c>
      <c r="R24" s="6">
        <v>419464</v>
      </c>
      <c r="S24" s="6">
        <v>502586</v>
      </c>
      <c r="T24" s="6">
        <v>521147</v>
      </c>
      <c r="U24" s="6">
        <v>527528</v>
      </c>
      <c r="V24" s="6">
        <v>654743</v>
      </c>
      <c r="W24" s="6">
        <v>609618</v>
      </c>
      <c r="X24" s="6">
        <v>595823</v>
      </c>
      <c r="Y24" s="6">
        <v>504304</v>
      </c>
      <c r="Z24" s="6">
        <v>622056</v>
      </c>
      <c r="AA24" s="6">
        <v>562484</v>
      </c>
      <c r="AB24" s="6">
        <v>731016</v>
      </c>
      <c r="AC24" s="6">
        <v>753404</v>
      </c>
      <c r="AD24" s="6">
        <v>451194</v>
      </c>
      <c r="AE24" s="6">
        <v>608688</v>
      </c>
      <c r="AF24" s="6">
        <v>456602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</row>
    <row r="25" spans="1:64" x14ac:dyDescent="0.25">
      <c r="A25" s="8">
        <v>137</v>
      </c>
      <c r="B25" s="8" t="s">
        <v>201</v>
      </c>
      <c r="C25" s="8" t="s">
        <v>202</v>
      </c>
      <c r="D25" s="8" t="s">
        <v>77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733765</v>
      </c>
      <c r="AO25" s="6">
        <v>784373</v>
      </c>
      <c r="AP25" s="6">
        <v>472997</v>
      </c>
      <c r="AQ25" s="6">
        <v>554505</v>
      </c>
      <c r="AR25" s="6">
        <v>645928</v>
      </c>
      <c r="AS25" s="6">
        <v>541628</v>
      </c>
      <c r="AT25" s="6">
        <v>660907</v>
      </c>
      <c r="AU25" s="6">
        <v>709193</v>
      </c>
      <c r="AV25" s="6">
        <v>624816</v>
      </c>
      <c r="AW25" s="6">
        <v>535238</v>
      </c>
      <c r="AX25" s="6">
        <v>653954</v>
      </c>
      <c r="AY25" s="6">
        <v>593358</v>
      </c>
      <c r="AZ25" s="6">
        <v>788558</v>
      </c>
      <c r="BA25" s="6">
        <v>797079</v>
      </c>
      <c r="BB25" s="6">
        <v>476611</v>
      </c>
      <c r="BC25" s="6">
        <v>664646</v>
      </c>
      <c r="BD25" s="6">
        <v>529305</v>
      </c>
      <c r="BE25" s="6">
        <v>536160</v>
      </c>
      <c r="BF25" s="6">
        <v>690043</v>
      </c>
      <c r="BG25" s="6">
        <v>721114</v>
      </c>
      <c r="BH25" s="6">
        <v>633166</v>
      </c>
      <c r="BI25" s="6">
        <v>554767</v>
      </c>
      <c r="BJ25" s="6">
        <v>668129</v>
      </c>
      <c r="BK25" s="6">
        <v>625005</v>
      </c>
      <c r="BL25" s="6">
        <v>775166</v>
      </c>
    </row>
    <row r="26" spans="1:64" x14ac:dyDescent="0.25">
      <c r="A26" s="8">
        <v>51</v>
      </c>
      <c r="B26" s="8" t="s">
        <v>75</v>
      </c>
      <c r="C26" s="8" t="s">
        <v>76</v>
      </c>
      <c r="D26" s="8" t="s">
        <v>78</v>
      </c>
      <c r="E26" s="6">
        <v>732303</v>
      </c>
      <c r="F26" s="6">
        <v>473289</v>
      </c>
      <c r="G26" s="6">
        <v>555878</v>
      </c>
      <c r="H26" s="6">
        <v>631411</v>
      </c>
      <c r="I26" s="6">
        <v>543066</v>
      </c>
      <c r="J26" s="6">
        <v>690657</v>
      </c>
      <c r="K26" s="6">
        <v>633643</v>
      </c>
      <c r="L26" s="6">
        <v>659650</v>
      </c>
      <c r="M26" s="6">
        <v>561333</v>
      </c>
      <c r="N26" s="6">
        <v>680269</v>
      </c>
      <c r="O26" s="6">
        <v>664101</v>
      </c>
      <c r="P26" s="6">
        <v>808624</v>
      </c>
      <c r="Q26" s="6">
        <v>816440</v>
      </c>
      <c r="R26" s="6">
        <v>531570</v>
      </c>
      <c r="S26" s="6">
        <v>635320</v>
      </c>
      <c r="T26" s="6">
        <v>649964</v>
      </c>
      <c r="U26" s="6">
        <v>670130</v>
      </c>
      <c r="V26" s="6">
        <v>798940</v>
      </c>
      <c r="W26" s="6">
        <v>738967</v>
      </c>
      <c r="X26" s="6">
        <v>742424</v>
      </c>
      <c r="Y26" s="6">
        <v>631811</v>
      </c>
      <c r="Z26" s="6">
        <v>762929</v>
      </c>
      <c r="AA26" s="6">
        <v>708336</v>
      </c>
      <c r="AB26" s="6">
        <v>906033</v>
      </c>
      <c r="AC26" s="6">
        <v>901913</v>
      </c>
      <c r="AD26" s="6">
        <v>578198</v>
      </c>
      <c r="AE26" s="6">
        <v>758332</v>
      </c>
      <c r="AF26" s="6">
        <v>589225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</row>
    <row r="27" spans="1:64" s="10" customFormat="1" x14ac:dyDescent="0.25">
      <c r="A27" s="8">
        <v>138</v>
      </c>
      <c r="B27" s="8" t="s">
        <v>201</v>
      </c>
      <c r="C27" s="8" t="s">
        <v>202</v>
      </c>
      <c r="D27" s="8" t="s">
        <v>78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927587</v>
      </c>
      <c r="AO27" s="6">
        <v>940349</v>
      </c>
      <c r="AP27" s="6">
        <v>608050</v>
      </c>
      <c r="AQ27" s="6">
        <v>702300</v>
      </c>
      <c r="AR27" s="6">
        <v>798522</v>
      </c>
      <c r="AS27" s="6">
        <v>695422</v>
      </c>
      <c r="AT27" s="6">
        <v>816095</v>
      </c>
      <c r="AU27" s="6">
        <v>866881</v>
      </c>
      <c r="AV27" s="6">
        <v>780912</v>
      </c>
      <c r="AW27" s="6">
        <v>678387</v>
      </c>
      <c r="AX27" s="6">
        <v>811317</v>
      </c>
      <c r="AY27" s="6">
        <v>753850</v>
      </c>
      <c r="AZ27" s="6">
        <v>982094</v>
      </c>
      <c r="BA27" s="6">
        <v>950891</v>
      </c>
      <c r="BB27" s="6">
        <v>611014</v>
      </c>
      <c r="BC27" s="6">
        <v>830465</v>
      </c>
      <c r="BD27" s="6">
        <v>674230</v>
      </c>
      <c r="BE27" s="6">
        <v>682220</v>
      </c>
      <c r="BF27" s="6">
        <v>845407</v>
      </c>
      <c r="BG27" s="6">
        <v>870132</v>
      </c>
      <c r="BH27" s="6">
        <v>783549</v>
      </c>
      <c r="BI27" s="6">
        <v>702719</v>
      </c>
      <c r="BJ27" s="6">
        <v>839977</v>
      </c>
      <c r="BK27" s="6">
        <v>791663</v>
      </c>
      <c r="BL27" s="6">
        <v>975938</v>
      </c>
    </row>
    <row r="28" spans="1:64" s="10" customFormat="1" x14ac:dyDescent="0.25">
      <c r="A28" s="1">
        <v>40</v>
      </c>
      <c r="B28" s="3" t="s">
        <v>59</v>
      </c>
      <c r="C28" s="3" t="s">
        <v>60</v>
      </c>
      <c r="D28" s="3" t="s">
        <v>63</v>
      </c>
      <c r="E28" s="6">
        <v>262857</v>
      </c>
      <c r="F28" s="6">
        <v>234743</v>
      </c>
      <c r="G28" s="6">
        <v>252357</v>
      </c>
      <c r="H28" s="6">
        <v>253316</v>
      </c>
      <c r="I28" s="6">
        <v>258856</v>
      </c>
      <c r="J28" s="6">
        <v>247832</v>
      </c>
      <c r="K28" s="6">
        <v>268410</v>
      </c>
      <c r="L28" s="6">
        <v>270919</v>
      </c>
      <c r="M28" s="6">
        <v>257613</v>
      </c>
      <c r="N28" s="6">
        <v>270934</v>
      </c>
      <c r="O28" s="6">
        <v>263401</v>
      </c>
      <c r="P28" s="6">
        <v>312960</v>
      </c>
      <c r="Q28" s="6">
        <v>280270</v>
      </c>
      <c r="R28" s="6">
        <v>251009</v>
      </c>
      <c r="S28" s="6">
        <v>274266</v>
      </c>
      <c r="T28" s="6">
        <v>278363</v>
      </c>
      <c r="U28" s="6">
        <v>271480</v>
      </c>
      <c r="V28" s="6">
        <v>268880</v>
      </c>
      <c r="W28" s="6">
        <v>286752</v>
      </c>
      <c r="X28" s="6">
        <v>286472</v>
      </c>
      <c r="Y28" s="6">
        <v>276657</v>
      </c>
      <c r="Z28" s="6">
        <v>297791</v>
      </c>
      <c r="AA28" s="6">
        <v>282602</v>
      </c>
      <c r="AB28" s="6">
        <v>326916</v>
      </c>
      <c r="AC28" s="6">
        <v>290790</v>
      </c>
      <c r="AD28" s="6">
        <v>263613</v>
      </c>
      <c r="AE28" s="6">
        <v>284751</v>
      </c>
      <c r="AF28" s="6">
        <v>275667</v>
      </c>
      <c r="AG28" s="6">
        <v>291319</v>
      </c>
      <c r="AH28" s="6">
        <v>287072</v>
      </c>
      <c r="AI28" s="6">
        <v>306187</v>
      </c>
      <c r="AJ28" s="6">
        <v>307524</v>
      </c>
      <c r="AK28" s="6">
        <v>292953</v>
      </c>
      <c r="AL28" s="6">
        <v>305690</v>
      </c>
      <c r="AM28" s="6">
        <v>303109</v>
      </c>
      <c r="AN28" s="6">
        <v>350669</v>
      </c>
      <c r="AO28" s="6">
        <v>317848</v>
      </c>
      <c r="AP28" s="6">
        <v>280559</v>
      </c>
      <c r="AQ28" s="6">
        <v>308850</v>
      </c>
      <c r="AR28" s="6">
        <v>295291</v>
      </c>
      <c r="AS28" s="6">
        <v>319638</v>
      </c>
      <c r="AT28" s="6">
        <v>306690</v>
      </c>
      <c r="AU28" s="6">
        <v>321453</v>
      </c>
      <c r="AV28" s="6">
        <v>319662</v>
      </c>
      <c r="AW28" s="6">
        <v>300310</v>
      </c>
      <c r="AX28" s="6">
        <v>311479</v>
      </c>
      <c r="AY28" s="6">
        <v>308474</v>
      </c>
      <c r="AZ28" s="6">
        <v>361552</v>
      </c>
      <c r="BA28" s="6">
        <v>323527</v>
      </c>
      <c r="BB28" s="6">
        <v>286893</v>
      </c>
      <c r="BC28" s="6">
        <v>313297</v>
      </c>
      <c r="BD28" s="6">
        <v>310079</v>
      </c>
      <c r="BE28" s="6">
        <v>318460</v>
      </c>
      <c r="BF28" s="6">
        <v>311339</v>
      </c>
      <c r="BG28" s="6">
        <v>325536</v>
      </c>
      <c r="BH28" s="6">
        <v>329820</v>
      </c>
      <c r="BI28" s="6">
        <v>314719</v>
      </c>
      <c r="BJ28" s="6">
        <v>330766</v>
      </c>
      <c r="BK28" s="6">
        <v>0</v>
      </c>
      <c r="BL28" s="6">
        <v>0</v>
      </c>
    </row>
    <row r="29" spans="1:64" s="10" customFormat="1" x14ac:dyDescent="0.25">
      <c r="A29" s="1">
        <v>1</v>
      </c>
      <c r="B29" s="3" t="s">
        <v>4</v>
      </c>
      <c r="C29" s="3" t="s">
        <v>5</v>
      </c>
      <c r="D29" s="3" t="s">
        <v>6</v>
      </c>
      <c r="E29" s="6">
        <v>222796</v>
      </c>
      <c r="F29" s="6">
        <v>162080</v>
      </c>
      <c r="G29" s="6">
        <v>181483</v>
      </c>
      <c r="H29" s="6">
        <v>201492</v>
      </c>
      <c r="I29" s="6">
        <v>180691</v>
      </c>
      <c r="J29" s="6">
        <v>189878</v>
      </c>
      <c r="K29" s="6">
        <v>194051</v>
      </c>
      <c r="L29" s="6">
        <v>205289</v>
      </c>
      <c r="M29" s="6">
        <v>181599</v>
      </c>
      <c r="N29" s="6">
        <v>204758</v>
      </c>
      <c r="O29" s="6">
        <v>198983</v>
      </c>
      <c r="P29" s="6">
        <v>241907</v>
      </c>
      <c r="Q29" s="6">
        <v>244642</v>
      </c>
      <c r="R29" s="6">
        <v>171283</v>
      </c>
      <c r="S29" s="6">
        <v>198554</v>
      </c>
      <c r="T29" s="6">
        <v>204925</v>
      </c>
      <c r="U29" s="6">
        <v>200409</v>
      </c>
      <c r="V29" s="6">
        <v>213442</v>
      </c>
      <c r="W29" s="6">
        <v>219700</v>
      </c>
      <c r="X29" s="6">
        <v>215189</v>
      </c>
      <c r="Y29" s="6">
        <v>195224</v>
      </c>
      <c r="Z29" s="6">
        <v>215098</v>
      </c>
      <c r="AA29" s="6">
        <v>209433</v>
      </c>
      <c r="AB29" s="6">
        <v>265231</v>
      </c>
      <c r="AC29" s="6">
        <v>272350</v>
      </c>
      <c r="AD29" s="6">
        <v>191931</v>
      </c>
      <c r="AE29" s="6">
        <v>237172</v>
      </c>
      <c r="AF29" s="6">
        <v>196234</v>
      </c>
      <c r="AG29" s="6">
        <v>216590</v>
      </c>
      <c r="AH29" s="6">
        <v>219414</v>
      </c>
      <c r="AI29" s="6">
        <v>237731</v>
      </c>
      <c r="AJ29" s="6">
        <v>230308</v>
      </c>
      <c r="AK29" s="6">
        <v>207972</v>
      </c>
      <c r="AL29" s="6">
        <v>233360</v>
      </c>
      <c r="AM29" s="6">
        <v>224161</v>
      </c>
      <c r="AN29" s="6">
        <v>269845</v>
      </c>
      <c r="AO29" s="6">
        <v>280845</v>
      </c>
      <c r="AP29" s="6">
        <v>196192</v>
      </c>
      <c r="AQ29" s="6">
        <v>217177</v>
      </c>
      <c r="AR29" s="6">
        <v>239768</v>
      </c>
      <c r="AS29" s="6">
        <v>217632</v>
      </c>
      <c r="AT29" s="6">
        <v>233349</v>
      </c>
      <c r="AU29" s="6">
        <v>246129</v>
      </c>
      <c r="AV29" s="6">
        <v>239845</v>
      </c>
      <c r="AW29" s="6">
        <v>217509</v>
      </c>
      <c r="AX29" s="6">
        <v>240738</v>
      </c>
      <c r="AY29" s="6">
        <v>233406</v>
      </c>
      <c r="AZ29" s="6">
        <v>288086</v>
      </c>
      <c r="BA29" s="6">
        <v>289888</v>
      </c>
      <c r="BB29" s="6">
        <v>203841</v>
      </c>
      <c r="BC29" s="6">
        <v>254102</v>
      </c>
      <c r="BD29" s="6">
        <v>219547</v>
      </c>
      <c r="BE29" s="6">
        <v>222486</v>
      </c>
      <c r="BF29" s="6">
        <v>199905</v>
      </c>
      <c r="BG29" s="6">
        <v>256688</v>
      </c>
      <c r="BH29" s="6">
        <v>247892</v>
      </c>
      <c r="BI29" s="6">
        <v>230464</v>
      </c>
      <c r="BJ29" s="6">
        <v>247173</v>
      </c>
      <c r="BK29" s="6">
        <v>240944</v>
      </c>
      <c r="BL29" s="6">
        <v>300383</v>
      </c>
    </row>
    <row r="30" spans="1:64" s="10" customFormat="1" x14ac:dyDescent="0.25">
      <c r="A30" s="1">
        <v>95</v>
      </c>
      <c r="B30" s="3" t="s">
        <v>137</v>
      </c>
      <c r="C30" s="3" t="s">
        <v>138</v>
      </c>
      <c r="D30" s="3" t="s">
        <v>139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54938</v>
      </c>
      <c r="BK30" s="6">
        <v>49415</v>
      </c>
      <c r="BL30" s="6">
        <v>60411</v>
      </c>
    </row>
    <row r="31" spans="1:64" x14ac:dyDescent="0.25">
      <c r="A31" s="1">
        <v>140</v>
      </c>
      <c r="B31" s="3" t="s">
        <v>205</v>
      </c>
      <c r="C31" s="3" t="s">
        <v>206</v>
      </c>
      <c r="D31" s="3" t="s">
        <v>207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0</v>
      </c>
      <c r="AD31" s="6">
        <v>0</v>
      </c>
      <c r="AE31" s="6">
        <v>0</v>
      </c>
      <c r="AF31" s="6">
        <v>19594</v>
      </c>
      <c r="AG31" s="6">
        <v>47667</v>
      </c>
      <c r="AH31" s="6">
        <v>50202</v>
      </c>
      <c r="AI31" s="6">
        <v>50285</v>
      </c>
      <c r="AJ31" s="6">
        <v>51395</v>
      </c>
      <c r="AK31" s="6">
        <v>46178</v>
      </c>
      <c r="AL31" s="6">
        <v>52571</v>
      </c>
      <c r="AM31" s="6">
        <v>51021</v>
      </c>
      <c r="AN31" s="6">
        <v>63034</v>
      </c>
      <c r="AO31" s="6">
        <v>67954</v>
      </c>
      <c r="AP31" s="6">
        <v>44503</v>
      </c>
      <c r="AQ31" s="6">
        <v>49494</v>
      </c>
      <c r="AR31" s="6">
        <v>54098</v>
      </c>
      <c r="AS31" s="6">
        <v>49887</v>
      </c>
      <c r="AT31" s="6">
        <v>52629</v>
      </c>
      <c r="AU31" s="6">
        <v>53884</v>
      </c>
      <c r="AV31" s="6">
        <v>52277</v>
      </c>
      <c r="AW31" s="6">
        <v>47526</v>
      </c>
      <c r="AX31" s="6">
        <v>53537</v>
      </c>
      <c r="AY31" s="6">
        <v>51610</v>
      </c>
      <c r="AZ31" s="6">
        <v>68423</v>
      </c>
      <c r="BA31" s="6">
        <v>69598</v>
      </c>
      <c r="BB31" s="6">
        <v>48062</v>
      </c>
      <c r="BC31" s="6">
        <v>59421</v>
      </c>
      <c r="BD31" s="6">
        <v>55303</v>
      </c>
      <c r="BE31" s="6">
        <v>55037</v>
      </c>
      <c r="BF31" s="6">
        <v>63487</v>
      </c>
      <c r="BG31" s="6">
        <v>61606</v>
      </c>
      <c r="BH31" s="6">
        <v>59146</v>
      </c>
      <c r="BI31" s="6">
        <v>56575</v>
      </c>
      <c r="BJ31" s="6">
        <v>61488</v>
      </c>
      <c r="BK31" s="6">
        <v>57370</v>
      </c>
      <c r="BL31" s="6">
        <v>72715</v>
      </c>
    </row>
    <row r="32" spans="1:64" x14ac:dyDescent="0.25">
      <c r="A32" s="1">
        <v>20</v>
      </c>
      <c r="B32" s="3" t="s">
        <v>31</v>
      </c>
      <c r="C32" s="3" t="s">
        <v>32</v>
      </c>
      <c r="D32" s="3" t="s">
        <v>33</v>
      </c>
      <c r="E32" s="6">
        <v>141142</v>
      </c>
      <c r="F32" s="6">
        <v>89139</v>
      </c>
      <c r="G32" s="6">
        <v>100123</v>
      </c>
      <c r="H32" s="6">
        <v>115135</v>
      </c>
      <c r="I32" s="6">
        <v>99031</v>
      </c>
      <c r="J32" s="6">
        <v>113555</v>
      </c>
      <c r="K32" s="6">
        <v>109329</v>
      </c>
      <c r="L32" s="6">
        <v>115852</v>
      </c>
      <c r="M32" s="6">
        <v>102528</v>
      </c>
      <c r="N32" s="6">
        <v>115323</v>
      </c>
      <c r="O32" s="6">
        <v>111724</v>
      </c>
      <c r="P32" s="6">
        <v>152225</v>
      </c>
      <c r="Q32" s="6">
        <v>162340</v>
      </c>
      <c r="R32" s="6">
        <v>101301</v>
      </c>
      <c r="S32" s="6">
        <v>112144</v>
      </c>
      <c r="T32" s="6">
        <v>118497</v>
      </c>
      <c r="U32" s="6">
        <v>113808</v>
      </c>
      <c r="V32" s="6">
        <v>131195</v>
      </c>
      <c r="W32" s="6">
        <v>125797</v>
      </c>
      <c r="X32" s="6">
        <v>128103</v>
      </c>
      <c r="Y32" s="6">
        <v>111288</v>
      </c>
      <c r="Z32" s="6">
        <v>133055</v>
      </c>
      <c r="AA32" s="6">
        <v>125525</v>
      </c>
      <c r="AB32" s="6">
        <v>170570</v>
      </c>
      <c r="AC32" s="6">
        <v>180523</v>
      </c>
      <c r="AD32" s="6">
        <v>108380</v>
      </c>
      <c r="AE32" s="6">
        <v>142183</v>
      </c>
      <c r="AF32" s="6">
        <v>106275</v>
      </c>
      <c r="AG32" s="6">
        <v>120986</v>
      </c>
      <c r="AH32" s="6">
        <v>123520</v>
      </c>
      <c r="AI32" s="6">
        <v>123667</v>
      </c>
      <c r="AJ32" s="6">
        <v>137984</v>
      </c>
      <c r="AK32" s="6">
        <v>118759</v>
      </c>
      <c r="AL32" s="6">
        <v>143992</v>
      </c>
      <c r="AM32" s="6">
        <v>141380</v>
      </c>
      <c r="AN32" s="6">
        <v>176893</v>
      </c>
      <c r="AO32" s="6">
        <v>180565</v>
      </c>
      <c r="AP32" s="6">
        <v>115877</v>
      </c>
      <c r="AQ32" s="6">
        <v>127341</v>
      </c>
      <c r="AR32" s="6">
        <v>147378</v>
      </c>
      <c r="AS32" s="6">
        <v>131667</v>
      </c>
      <c r="AT32" s="6">
        <v>149821</v>
      </c>
      <c r="AU32" s="6">
        <v>152693</v>
      </c>
      <c r="AV32" s="6">
        <v>151120</v>
      </c>
      <c r="AW32" s="6">
        <v>128575</v>
      </c>
      <c r="AX32" s="6">
        <v>147827</v>
      </c>
      <c r="AY32" s="6">
        <v>145162</v>
      </c>
      <c r="AZ32" s="6">
        <v>187461</v>
      </c>
      <c r="BA32" s="6">
        <v>199901</v>
      </c>
      <c r="BB32" s="6">
        <v>121191</v>
      </c>
      <c r="BC32" s="6">
        <v>154535</v>
      </c>
      <c r="BD32" s="6">
        <v>133044</v>
      </c>
      <c r="BE32" s="6">
        <v>128955</v>
      </c>
      <c r="BF32" s="6">
        <v>151143</v>
      </c>
      <c r="BG32" s="6">
        <v>157154</v>
      </c>
      <c r="BH32" s="6">
        <v>153711</v>
      </c>
      <c r="BI32" s="6">
        <v>0</v>
      </c>
      <c r="BJ32" s="6">
        <v>0</v>
      </c>
      <c r="BK32" s="6">
        <v>0</v>
      </c>
      <c r="BL32" s="6">
        <v>0</v>
      </c>
    </row>
    <row r="33" spans="1:64" x14ac:dyDescent="0.25">
      <c r="A33" s="1">
        <v>2</v>
      </c>
      <c r="B33" s="3" t="s">
        <v>4</v>
      </c>
      <c r="C33" s="3" t="s">
        <v>5</v>
      </c>
      <c r="D33" s="3" t="s">
        <v>7</v>
      </c>
      <c r="E33" s="6">
        <v>210126</v>
      </c>
      <c r="F33" s="6">
        <v>149379</v>
      </c>
      <c r="G33" s="6">
        <v>168178</v>
      </c>
      <c r="H33" s="6">
        <v>184526</v>
      </c>
      <c r="I33" s="6">
        <v>164622</v>
      </c>
      <c r="J33" s="6">
        <v>171120</v>
      </c>
      <c r="K33" s="6">
        <v>182790</v>
      </c>
      <c r="L33" s="6">
        <v>180861</v>
      </c>
      <c r="M33" s="6">
        <v>165380</v>
      </c>
      <c r="N33" s="6">
        <v>177311</v>
      </c>
      <c r="O33" s="6">
        <v>171314</v>
      </c>
      <c r="P33" s="6">
        <v>207316</v>
      </c>
      <c r="Q33" s="6">
        <v>215470</v>
      </c>
      <c r="R33" s="6">
        <v>157126</v>
      </c>
      <c r="S33" s="6">
        <v>170173</v>
      </c>
      <c r="T33" s="6">
        <v>182229</v>
      </c>
      <c r="U33" s="6">
        <v>174938</v>
      </c>
      <c r="V33" s="6">
        <v>184047</v>
      </c>
      <c r="W33" s="6">
        <v>194706</v>
      </c>
      <c r="X33" s="6">
        <v>186306</v>
      </c>
      <c r="Y33" s="6">
        <v>171841</v>
      </c>
      <c r="Z33" s="6">
        <v>181370</v>
      </c>
      <c r="AA33" s="6">
        <v>175712</v>
      </c>
      <c r="AB33" s="6">
        <v>217189</v>
      </c>
      <c r="AC33" s="6">
        <v>229713</v>
      </c>
      <c r="AD33" s="6">
        <v>159011</v>
      </c>
      <c r="AE33" s="6">
        <v>201959</v>
      </c>
      <c r="AF33" s="6">
        <v>163674</v>
      </c>
      <c r="AG33" s="6">
        <v>181470</v>
      </c>
      <c r="AH33" s="6">
        <v>174883</v>
      </c>
      <c r="AI33" s="6">
        <v>186880</v>
      </c>
      <c r="AJ33" s="6">
        <v>204749</v>
      </c>
      <c r="AK33" s="6">
        <v>179382</v>
      </c>
      <c r="AL33" s="6">
        <v>193508</v>
      </c>
      <c r="AM33" s="6">
        <v>186849</v>
      </c>
      <c r="AN33" s="6">
        <v>220990</v>
      </c>
      <c r="AO33" s="6">
        <v>228406</v>
      </c>
      <c r="AP33" s="6">
        <v>159785</v>
      </c>
      <c r="AQ33" s="6">
        <v>171688</v>
      </c>
      <c r="AR33" s="6">
        <v>196138</v>
      </c>
      <c r="AS33" s="6">
        <v>157294</v>
      </c>
      <c r="AT33" s="6">
        <v>189374</v>
      </c>
      <c r="AU33" s="6">
        <v>203152</v>
      </c>
      <c r="AV33" s="6">
        <v>193941</v>
      </c>
      <c r="AW33" s="6">
        <v>178218</v>
      </c>
      <c r="AX33" s="6">
        <v>194415</v>
      </c>
      <c r="AY33" s="6">
        <v>182855</v>
      </c>
      <c r="AZ33" s="6">
        <v>219810</v>
      </c>
      <c r="BA33" s="6">
        <v>226678</v>
      </c>
      <c r="BB33" s="6">
        <v>159986</v>
      </c>
      <c r="BC33" s="6">
        <v>198039</v>
      </c>
      <c r="BD33" s="6">
        <v>175620</v>
      </c>
      <c r="BE33" s="6">
        <v>171792</v>
      </c>
      <c r="BF33" s="6">
        <v>159998</v>
      </c>
      <c r="BG33" s="6">
        <v>204259</v>
      </c>
      <c r="BH33" s="6">
        <v>195559</v>
      </c>
      <c r="BI33" s="6">
        <v>182830</v>
      </c>
      <c r="BJ33" s="6">
        <v>201643</v>
      </c>
      <c r="BK33" s="6">
        <v>190100</v>
      </c>
      <c r="BL33" s="6">
        <v>224507</v>
      </c>
    </row>
    <row r="34" spans="1:64" x14ac:dyDescent="0.25">
      <c r="A34" s="1">
        <v>68</v>
      </c>
      <c r="B34" s="3" t="s">
        <v>95</v>
      </c>
      <c r="C34" s="3" t="s">
        <v>96</v>
      </c>
      <c r="D34" s="3" t="s">
        <v>98</v>
      </c>
      <c r="E34" s="6">
        <v>146385</v>
      </c>
      <c r="F34" s="6">
        <v>111224</v>
      </c>
      <c r="G34" s="6">
        <v>123572</v>
      </c>
      <c r="H34" s="6">
        <v>130136</v>
      </c>
      <c r="I34" s="6">
        <v>120879</v>
      </c>
      <c r="J34" s="6">
        <v>130818</v>
      </c>
      <c r="K34" s="6">
        <v>143150</v>
      </c>
      <c r="L34" s="6">
        <v>142423</v>
      </c>
      <c r="M34" s="6">
        <v>123990</v>
      </c>
      <c r="N34" s="6">
        <v>133123</v>
      </c>
      <c r="O34" s="6">
        <v>131800</v>
      </c>
      <c r="P34" s="6">
        <v>149692</v>
      </c>
      <c r="Q34" s="6">
        <v>163924</v>
      </c>
      <c r="R34" s="6">
        <v>118893</v>
      </c>
      <c r="S34" s="6">
        <v>132593</v>
      </c>
      <c r="T34" s="6">
        <v>138824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</row>
    <row r="35" spans="1:64" x14ac:dyDescent="0.25">
      <c r="A35" s="1">
        <v>144</v>
      </c>
      <c r="B35" s="3" t="s">
        <v>212</v>
      </c>
      <c r="C35" s="3" t="s">
        <v>213</v>
      </c>
      <c r="D35" s="3" t="s">
        <v>215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41122</v>
      </c>
      <c r="Y35" s="6">
        <v>92199</v>
      </c>
      <c r="Z35" s="6">
        <v>103655</v>
      </c>
      <c r="AA35" s="6">
        <v>101540</v>
      </c>
      <c r="AB35" s="6">
        <v>127022</v>
      </c>
      <c r="AC35" s="6">
        <v>127543</v>
      </c>
      <c r="AD35" s="6">
        <v>93046</v>
      </c>
      <c r="AE35" s="6">
        <v>114505</v>
      </c>
      <c r="AF35" s="6">
        <v>93310</v>
      </c>
      <c r="AG35" s="6">
        <v>99686</v>
      </c>
      <c r="AH35" s="6">
        <v>98885</v>
      </c>
      <c r="AI35" s="6">
        <v>102272</v>
      </c>
      <c r="AJ35" s="6">
        <v>105760</v>
      </c>
      <c r="AK35" s="6">
        <v>98755</v>
      </c>
      <c r="AL35" s="6">
        <v>110440</v>
      </c>
      <c r="AM35" s="6">
        <v>105912</v>
      </c>
      <c r="AN35" s="6">
        <v>130226</v>
      </c>
      <c r="AO35" s="6">
        <v>133065</v>
      </c>
      <c r="AP35" s="6">
        <v>93746</v>
      </c>
      <c r="AQ35" s="6">
        <v>102878</v>
      </c>
      <c r="AR35" s="6">
        <v>113547</v>
      </c>
      <c r="AS35" s="6">
        <v>100983</v>
      </c>
      <c r="AT35" s="6">
        <v>105736</v>
      </c>
      <c r="AU35" s="6">
        <v>108384</v>
      </c>
      <c r="AV35" s="6">
        <v>104394</v>
      </c>
      <c r="AW35" s="6">
        <v>99100</v>
      </c>
      <c r="AX35" s="6">
        <v>108634</v>
      </c>
      <c r="AY35" s="6">
        <v>107765</v>
      </c>
      <c r="AZ35" s="6">
        <v>130221</v>
      </c>
      <c r="BA35" s="6">
        <v>131486</v>
      </c>
      <c r="BB35" s="6">
        <v>90567</v>
      </c>
      <c r="BC35" s="6">
        <v>111073</v>
      </c>
      <c r="BD35" s="6">
        <v>102785</v>
      </c>
      <c r="BE35" s="6">
        <v>94591</v>
      </c>
      <c r="BF35" s="6">
        <v>95824</v>
      </c>
      <c r="BG35" s="6">
        <v>107793</v>
      </c>
      <c r="BH35" s="6">
        <v>103273</v>
      </c>
      <c r="BI35" s="6">
        <v>96638</v>
      </c>
      <c r="BJ35" s="6">
        <v>106857</v>
      </c>
      <c r="BK35" s="6">
        <v>103684</v>
      </c>
      <c r="BL35" s="6">
        <v>124633</v>
      </c>
    </row>
    <row r="36" spans="1:64" x14ac:dyDescent="0.25">
      <c r="A36" s="1">
        <v>39</v>
      </c>
      <c r="B36" s="3" t="s">
        <v>59</v>
      </c>
      <c r="C36" s="3" t="s">
        <v>60</v>
      </c>
      <c r="D36" s="3" t="s">
        <v>238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478917</v>
      </c>
      <c r="AD36" s="6">
        <v>371470</v>
      </c>
      <c r="AE36" s="6">
        <v>441557</v>
      </c>
      <c r="AF36" s="6">
        <v>378349</v>
      </c>
      <c r="AG36" s="6">
        <v>412094</v>
      </c>
      <c r="AH36" s="6">
        <v>401170</v>
      </c>
      <c r="AI36" s="6">
        <v>450448</v>
      </c>
      <c r="AJ36" s="6">
        <v>450908</v>
      </c>
      <c r="AK36" s="6">
        <v>406256</v>
      </c>
      <c r="AL36" s="6">
        <v>437743</v>
      </c>
      <c r="AM36" s="6">
        <v>432429</v>
      </c>
      <c r="AN36" s="6">
        <v>516584</v>
      </c>
      <c r="AO36" s="6">
        <v>494669</v>
      </c>
      <c r="AP36" s="6">
        <v>383217</v>
      </c>
      <c r="AQ36" s="6">
        <v>422395</v>
      </c>
      <c r="AR36" s="6">
        <v>456892</v>
      </c>
      <c r="AS36" s="6">
        <v>411845</v>
      </c>
      <c r="AT36" s="6">
        <v>433298</v>
      </c>
      <c r="AU36" s="6">
        <v>474233</v>
      </c>
      <c r="AV36" s="6">
        <v>463890</v>
      </c>
      <c r="AW36" s="6">
        <v>422763</v>
      </c>
      <c r="AX36" s="6">
        <v>452453</v>
      </c>
      <c r="AY36" s="6">
        <v>441395</v>
      </c>
      <c r="AZ36" s="6">
        <v>539453</v>
      </c>
      <c r="BA36" s="6">
        <v>513915</v>
      </c>
      <c r="BB36" s="6">
        <v>393678</v>
      </c>
      <c r="BC36" s="6">
        <v>477566</v>
      </c>
      <c r="BD36" s="6">
        <v>429964</v>
      </c>
      <c r="BE36" s="6">
        <v>425268</v>
      </c>
      <c r="BF36" s="6">
        <v>448723</v>
      </c>
      <c r="BG36" s="6">
        <v>486448</v>
      </c>
      <c r="BH36" s="6">
        <v>474464</v>
      </c>
      <c r="BI36" s="6">
        <v>436729</v>
      </c>
      <c r="BJ36" s="6">
        <v>469474</v>
      </c>
      <c r="BK36" s="6">
        <v>0</v>
      </c>
      <c r="BL36" s="6">
        <v>0</v>
      </c>
    </row>
    <row r="37" spans="1:64" x14ac:dyDescent="0.25">
      <c r="A37" s="1">
        <v>85</v>
      </c>
      <c r="B37" s="3" t="s">
        <v>121</v>
      </c>
      <c r="C37" s="3" t="s">
        <v>122</v>
      </c>
      <c r="D37" s="3" t="s">
        <v>123</v>
      </c>
      <c r="E37" s="6">
        <v>200666</v>
      </c>
      <c r="F37" s="6">
        <v>130126</v>
      </c>
      <c r="G37" s="6">
        <v>135226</v>
      </c>
      <c r="H37" s="6">
        <v>160972</v>
      </c>
      <c r="I37" s="6">
        <v>142880</v>
      </c>
      <c r="J37" s="6">
        <v>150458</v>
      </c>
      <c r="K37" s="6">
        <v>159520</v>
      </c>
      <c r="L37" s="6">
        <v>144892</v>
      </c>
      <c r="M37" s="6">
        <v>136266</v>
      </c>
      <c r="N37" s="6">
        <v>154475</v>
      </c>
      <c r="O37" s="6">
        <v>149424</v>
      </c>
      <c r="P37" s="6">
        <v>176236</v>
      </c>
      <c r="Q37" s="6">
        <v>202594</v>
      </c>
      <c r="R37" s="6">
        <v>140825</v>
      </c>
      <c r="S37" s="6">
        <v>155703</v>
      </c>
      <c r="T37" s="6">
        <v>159777</v>
      </c>
      <c r="U37" s="6">
        <v>151597</v>
      </c>
      <c r="V37" s="6">
        <v>154531</v>
      </c>
      <c r="W37" s="6">
        <v>160820</v>
      </c>
      <c r="X37" s="6">
        <v>152682</v>
      </c>
      <c r="Y37" s="6">
        <v>143598</v>
      </c>
      <c r="Z37" s="6">
        <v>160513</v>
      </c>
      <c r="AA37" s="6">
        <v>151538</v>
      </c>
      <c r="AB37" s="6">
        <v>182945</v>
      </c>
      <c r="AC37" s="6">
        <v>211825</v>
      </c>
      <c r="AD37" s="6">
        <v>131599</v>
      </c>
      <c r="AE37" s="6">
        <v>161149</v>
      </c>
      <c r="AF37" s="6">
        <v>136975</v>
      </c>
      <c r="AG37" s="6">
        <v>140858</v>
      </c>
      <c r="AH37" s="6">
        <v>146092</v>
      </c>
      <c r="AI37" s="6">
        <v>146860</v>
      </c>
      <c r="AJ37" s="6">
        <v>154534</v>
      </c>
      <c r="AK37" s="6">
        <v>144892</v>
      </c>
      <c r="AL37" s="6">
        <v>157618</v>
      </c>
      <c r="AM37" s="6">
        <v>156959</v>
      </c>
      <c r="AN37" s="6">
        <v>190743</v>
      </c>
      <c r="AO37" s="6">
        <v>224805</v>
      </c>
      <c r="AP37" s="6">
        <v>143317</v>
      </c>
      <c r="AQ37" s="6">
        <v>158351</v>
      </c>
      <c r="AR37" s="6">
        <v>163969</v>
      </c>
      <c r="AS37" s="6">
        <v>153408</v>
      </c>
      <c r="AT37" s="6">
        <v>159482</v>
      </c>
      <c r="AU37" s="6">
        <v>152893</v>
      </c>
      <c r="AV37" s="6">
        <v>148292</v>
      </c>
      <c r="AW37" s="6">
        <v>141500</v>
      </c>
      <c r="AX37" s="6">
        <v>156461</v>
      </c>
      <c r="AY37" s="6">
        <v>148602</v>
      </c>
      <c r="AZ37" s="6">
        <v>186196</v>
      </c>
      <c r="BA37" s="6">
        <v>219416</v>
      </c>
      <c r="BB37" s="6">
        <v>132320</v>
      </c>
      <c r="BC37" s="6">
        <v>163364</v>
      </c>
      <c r="BD37" s="6">
        <v>160105</v>
      </c>
      <c r="BE37" s="6">
        <v>154196</v>
      </c>
      <c r="BF37" s="6">
        <v>163544</v>
      </c>
      <c r="BG37" s="6">
        <v>167693</v>
      </c>
      <c r="BH37" s="6">
        <v>154902</v>
      </c>
      <c r="BI37" s="6">
        <v>145767</v>
      </c>
      <c r="BJ37" s="6">
        <v>162046</v>
      </c>
      <c r="BK37" s="6">
        <v>154900</v>
      </c>
      <c r="BL37" s="6">
        <v>191343</v>
      </c>
    </row>
    <row r="38" spans="1:64" x14ac:dyDescent="0.25">
      <c r="A38" s="1">
        <v>24</v>
      </c>
      <c r="B38" s="3" t="s">
        <v>37</v>
      </c>
      <c r="C38" s="3" t="s">
        <v>38</v>
      </c>
      <c r="D38" s="3" t="s">
        <v>239</v>
      </c>
      <c r="E38" s="6">
        <v>270050</v>
      </c>
      <c r="F38" s="6">
        <v>235084</v>
      </c>
      <c r="G38" s="6">
        <v>260265</v>
      </c>
      <c r="H38" s="6">
        <v>259020</v>
      </c>
      <c r="I38" s="6">
        <v>248709</v>
      </c>
      <c r="J38" s="6">
        <v>254446</v>
      </c>
      <c r="K38" s="6">
        <v>264972</v>
      </c>
      <c r="L38" s="6">
        <v>273437</v>
      </c>
      <c r="M38" s="6">
        <v>258878</v>
      </c>
      <c r="N38" s="6">
        <v>271926</v>
      </c>
      <c r="O38" s="6">
        <v>257628</v>
      </c>
      <c r="P38" s="6">
        <v>276196</v>
      </c>
      <c r="Q38" s="6">
        <v>279776</v>
      </c>
      <c r="R38" s="6">
        <v>244477</v>
      </c>
      <c r="S38" s="6">
        <v>269752</v>
      </c>
      <c r="T38" s="6">
        <v>264620</v>
      </c>
      <c r="U38" s="6">
        <v>280791</v>
      </c>
      <c r="V38" s="6">
        <v>274776</v>
      </c>
      <c r="W38" s="6">
        <v>287939</v>
      </c>
      <c r="X38" s="6">
        <v>287019</v>
      </c>
      <c r="Y38" s="6">
        <v>273620</v>
      </c>
      <c r="Z38" s="6">
        <v>284811</v>
      </c>
      <c r="AA38" s="6">
        <v>276485</v>
      </c>
      <c r="AB38" s="6">
        <v>294552</v>
      </c>
      <c r="AC38" s="6">
        <v>298387</v>
      </c>
      <c r="AD38" s="6">
        <v>264622</v>
      </c>
      <c r="AE38" s="6">
        <v>282953</v>
      </c>
      <c r="AF38" s="6">
        <v>270446</v>
      </c>
      <c r="AG38" s="6">
        <v>288836</v>
      </c>
      <c r="AH38" s="6">
        <v>279452</v>
      </c>
      <c r="AI38" s="6">
        <v>288443</v>
      </c>
      <c r="AJ38" s="6">
        <v>299599</v>
      </c>
      <c r="AK38" s="6">
        <v>288888</v>
      </c>
      <c r="AL38" s="6">
        <v>301450</v>
      </c>
      <c r="AM38" s="6">
        <v>289426</v>
      </c>
      <c r="AN38" s="6">
        <v>307317</v>
      </c>
      <c r="AO38" s="6">
        <v>309282</v>
      </c>
      <c r="AP38" s="6">
        <v>270079</v>
      </c>
      <c r="AQ38" s="6">
        <v>294673</v>
      </c>
      <c r="AR38" s="6">
        <v>287688</v>
      </c>
      <c r="AS38" s="6">
        <v>301061</v>
      </c>
      <c r="AT38" s="6">
        <v>290650</v>
      </c>
      <c r="AU38" s="6">
        <v>309007</v>
      </c>
      <c r="AV38" s="6">
        <v>302962</v>
      </c>
      <c r="AW38" s="6">
        <v>283487</v>
      </c>
      <c r="AX38" s="6">
        <v>298882</v>
      </c>
      <c r="AY38" s="6">
        <v>288721</v>
      </c>
      <c r="AZ38" s="6">
        <v>308070</v>
      </c>
      <c r="BA38" s="6">
        <v>309681</v>
      </c>
      <c r="BB38" s="6">
        <v>267127</v>
      </c>
      <c r="BC38" s="6">
        <v>296647</v>
      </c>
      <c r="BD38" s="6">
        <v>273396</v>
      </c>
      <c r="BE38" s="6">
        <v>294099</v>
      </c>
      <c r="BF38" s="6">
        <v>288437</v>
      </c>
      <c r="BG38" s="6">
        <v>308166</v>
      </c>
      <c r="BH38" s="6">
        <v>303272</v>
      </c>
      <c r="BI38" s="6">
        <v>293726</v>
      </c>
      <c r="BJ38" s="6">
        <v>304566</v>
      </c>
      <c r="BK38" s="6">
        <v>292525</v>
      </c>
      <c r="BL38" s="6">
        <v>314172</v>
      </c>
    </row>
    <row r="39" spans="1:64" x14ac:dyDescent="0.25">
      <c r="A39" s="1">
        <v>86</v>
      </c>
      <c r="B39" s="3" t="s">
        <v>121</v>
      </c>
      <c r="C39" s="3" t="s">
        <v>122</v>
      </c>
      <c r="D39" s="3" t="s">
        <v>124</v>
      </c>
      <c r="E39" s="6">
        <v>74307</v>
      </c>
      <c r="F39" s="6">
        <v>54016</v>
      </c>
      <c r="G39" s="6">
        <v>59668</v>
      </c>
      <c r="H39" s="6">
        <v>67264</v>
      </c>
      <c r="I39" s="6">
        <v>62307</v>
      </c>
      <c r="J39" s="6">
        <v>64028</v>
      </c>
      <c r="K39" s="6">
        <v>66991</v>
      </c>
      <c r="L39" s="6">
        <v>64279</v>
      </c>
      <c r="M39" s="6">
        <v>61175</v>
      </c>
      <c r="N39" s="6">
        <v>66851</v>
      </c>
      <c r="O39" s="6">
        <v>62891</v>
      </c>
      <c r="P39" s="6">
        <v>74248</v>
      </c>
      <c r="Q39" s="6">
        <v>79228</v>
      </c>
      <c r="R39" s="6">
        <v>60848</v>
      </c>
      <c r="S39" s="6">
        <v>69312</v>
      </c>
      <c r="T39" s="6">
        <v>70470</v>
      </c>
      <c r="U39" s="6">
        <v>67927</v>
      </c>
      <c r="V39" s="6">
        <v>68701</v>
      </c>
      <c r="W39" s="6">
        <v>73393</v>
      </c>
      <c r="X39" s="6">
        <v>66017</v>
      </c>
      <c r="Y39" s="6">
        <v>64051</v>
      </c>
      <c r="Z39" s="6">
        <v>71682</v>
      </c>
      <c r="AA39" s="6">
        <v>69299</v>
      </c>
      <c r="AB39" s="6">
        <v>81635</v>
      </c>
      <c r="AC39" s="6">
        <v>87705</v>
      </c>
      <c r="AD39" s="6">
        <v>67980</v>
      </c>
      <c r="AE39" s="6">
        <v>75815</v>
      </c>
      <c r="AF39" s="6">
        <v>70197</v>
      </c>
      <c r="AG39" s="6">
        <v>65206</v>
      </c>
      <c r="AH39" s="6">
        <v>68259</v>
      </c>
      <c r="AI39" s="6">
        <v>69755</v>
      </c>
      <c r="AJ39" s="6">
        <v>80034</v>
      </c>
      <c r="AK39" s="6">
        <v>79591</v>
      </c>
      <c r="AL39" s="6">
        <v>87757</v>
      </c>
      <c r="AM39" s="6">
        <v>90128</v>
      </c>
      <c r="AN39" s="6">
        <v>97550</v>
      </c>
      <c r="AO39" s="6">
        <v>109460</v>
      </c>
      <c r="AP39" s="6">
        <v>92143</v>
      </c>
      <c r="AQ39" s="6">
        <v>97911</v>
      </c>
      <c r="AR39" s="6">
        <v>75652</v>
      </c>
      <c r="AS39" s="6">
        <v>76948</v>
      </c>
      <c r="AT39" s="6">
        <v>79330</v>
      </c>
      <c r="AU39" s="6">
        <v>70526</v>
      </c>
      <c r="AV39" s="6">
        <v>66535</v>
      </c>
      <c r="AW39" s="6">
        <v>65171</v>
      </c>
      <c r="AX39" s="6">
        <v>68767</v>
      </c>
      <c r="AY39" s="6">
        <v>69522</v>
      </c>
      <c r="AZ39" s="6">
        <v>81481</v>
      </c>
      <c r="BA39" s="6">
        <v>86695</v>
      </c>
      <c r="BB39" s="6">
        <v>61526</v>
      </c>
      <c r="BC39" s="6">
        <v>74541</v>
      </c>
      <c r="BD39" s="6">
        <v>70055</v>
      </c>
      <c r="BE39" s="6">
        <v>67876</v>
      </c>
      <c r="BF39" s="6">
        <v>74031</v>
      </c>
      <c r="BG39" s="6">
        <v>74735</v>
      </c>
      <c r="BH39" s="6">
        <v>71890</v>
      </c>
      <c r="BI39" s="6">
        <v>68799</v>
      </c>
      <c r="BJ39" s="6">
        <v>73543</v>
      </c>
      <c r="BK39" s="6">
        <v>71922</v>
      </c>
      <c r="BL39" s="6">
        <v>85123</v>
      </c>
    </row>
    <row r="40" spans="1:64" x14ac:dyDescent="0.25">
      <c r="A40" s="1">
        <v>35</v>
      </c>
      <c r="B40" s="3" t="s">
        <v>53</v>
      </c>
      <c r="C40" s="3" t="s">
        <v>54</v>
      </c>
      <c r="D40" s="3" t="s">
        <v>56</v>
      </c>
      <c r="E40" s="6">
        <v>82203</v>
      </c>
      <c r="F40" s="6">
        <v>60554</v>
      </c>
      <c r="G40" s="6">
        <v>65592</v>
      </c>
      <c r="H40" s="6">
        <v>70563</v>
      </c>
      <c r="I40" s="6">
        <v>62507</v>
      </c>
      <c r="J40" s="6">
        <v>66024</v>
      </c>
      <c r="K40" s="6">
        <v>71939</v>
      </c>
      <c r="L40" s="6">
        <v>66627</v>
      </c>
      <c r="M40" s="6">
        <v>60077</v>
      </c>
      <c r="N40" s="6">
        <v>60982</v>
      </c>
      <c r="O40" s="6">
        <v>58807</v>
      </c>
      <c r="P40" s="6">
        <v>69885</v>
      </c>
      <c r="Q40" s="6">
        <v>72108</v>
      </c>
      <c r="R40" s="6">
        <v>56022</v>
      </c>
      <c r="S40" s="6">
        <v>60790</v>
      </c>
      <c r="T40" s="6">
        <v>65216</v>
      </c>
      <c r="U40" s="6">
        <v>64247</v>
      </c>
      <c r="V40" s="6">
        <v>65089</v>
      </c>
      <c r="W40" s="6">
        <v>67847</v>
      </c>
      <c r="X40" s="6">
        <v>67424</v>
      </c>
      <c r="Y40" s="6">
        <v>60208</v>
      </c>
      <c r="Z40" s="6">
        <v>62864</v>
      </c>
      <c r="AA40" s="6">
        <v>62267</v>
      </c>
      <c r="AB40" s="6">
        <v>73056</v>
      </c>
      <c r="AC40" s="6">
        <v>76405</v>
      </c>
      <c r="AD40" s="6">
        <v>59804</v>
      </c>
      <c r="AE40" s="6">
        <v>72422</v>
      </c>
      <c r="AF40" s="6">
        <v>59611</v>
      </c>
      <c r="AG40" s="6">
        <v>58418</v>
      </c>
      <c r="AH40" s="6">
        <v>64022</v>
      </c>
      <c r="AI40" s="6">
        <v>72289</v>
      </c>
      <c r="AJ40" s="6">
        <v>68281</v>
      </c>
      <c r="AK40" s="6">
        <v>66594</v>
      </c>
      <c r="AL40" s="6">
        <v>71597</v>
      </c>
      <c r="AM40" s="6">
        <v>69316</v>
      </c>
      <c r="AN40" s="6">
        <v>78334</v>
      </c>
      <c r="AO40" s="6">
        <v>82881</v>
      </c>
      <c r="AP40" s="6">
        <v>63814</v>
      </c>
      <c r="AQ40" s="6">
        <v>67751</v>
      </c>
      <c r="AR40" s="6">
        <v>73452</v>
      </c>
      <c r="AS40" s="6">
        <v>64955</v>
      </c>
      <c r="AT40" s="6">
        <v>69908</v>
      </c>
      <c r="AU40" s="6">
        <v>74231</v>
      </c>
      <c r="AV40" s="6">
        <v>70787</v>
      </c>
      <c r="AW40" s="6">
        <v>67898</v>
      </c>
      <c r="AX40" s="6">
        <v>73741</v>
      </c>
      <c r="AY40" s="6">
        <v>70073</v>
      </c>
      <c r="AZ40" s="6">
        <v>83757</v>
      </c>
      <c r="BA40" s="6">
        <v>87311</v>
      </c>
      <c r="BB40" s="6">
        <v>65127</v>
      </c>
      <c r="BC40" s="6">
        <v>80070</v>
      </c>
      <c r="BD40" s="6">
        <v>71488</v>
      </c>
      <c r="BE40" s="6">
        <v>68998</v>
      </c>
      <c r="BF40" s="6">
        <v>72526</v>
      </c>
      <c r="BG40" s="6">
        <v>80554</v>
      </c>
      <c r="BH40" s="6">
        <v>75638</v>
      </c>
      <c r="BI40" s="6">
        <v>70850</v>
      </c>
      <c r="BJ40" s="6">
        <v>73013</v>
      </c>
      <c r="BK40" s="6">
        <v>70929</v>
      </c>
      <c r="BL40" s="6">
        <v>86845</v>
      </c>
    </row>
    <row r="41" spans="1:64" x14ac:dyDescent="0.25">
      <c r="A41" s="1">
        <v>47</v>
      </c>
      <c r="B41" s="3" t="s">
        <v>70</v>
      </c>
      <c r="C41" s="3" t="s">
        <v>71</v>
      </c>
      <c r="D41" s="3" t="s">
        <v>72</v>
      </c>
      <c r="E41" s="6">
        <v>114387</v>
      </c>
      <c r="F41" s="6">
        <v>104388</v>
      </c>
      <c r="G41" s="6">
        <v>114123</v>
      </c>
      <c r="H41" s="6">
        <v>110894</v>
      </c>
      <c r="I41" s="6">
        <v>122681</v>
      </c>
      <c r="J41" s="6">
        <v>121560</v>
      </c>
      <c r="K41" s="6">
        <v>136563</v>
      </c>
      <c r="L41" s="6">
        <v>135118</v>
      </c>
      <c r="M41" s="6">
        <v>125795</v>
      </c>
      <c r="N41" s="6">
        <v>121738</v>
      </c>
      <c r="O41" s="6">
        <v>118482</v>
      </c>
      <c r="P41" s="6">
        <v>127057</v>
      </c>
      <c r="Q41" s="6">
        <v>105140</v>
      </c>
      <c r="R41" s="6">
        <v>104088</v>
      </c>
      <c r="S41" s="6">
        <v>114394</v>
      </c>
      <c r="T41" s="6">
        <v>107817</v>
      </c>
      <c r="U41" s="6">
        <v>116889</v>
      </c>
      <c r="V41" s="6">
        <v>109361</v>
      </c>
      <c r="W41" s="6">
        <v>113174</v>
      </c>
      <c r="X41" s="6">
        <v>96954</v>
      </c>
      <c r="Y41" s="6">
        <v>72179</v>
      </c>
      <c r="Z41" s="6">
        <v>75382</v>
      </c>
      <c r="AA41" s="6">
        <v>72824</v>
      </c>
      <c r="AB41" s="6">
        <v>76589</v>
      </c>
      <c r="AC41" s="6">
        <v>66963</v>
      </c>
      <c r="AD41" s="6">
        <v>71955</v>
      </c>
      <c r="AE41" s="6">
        <v>71917</v>
      </c>
      <c r="AF41" s="6">
        <v>75100</v>
      </c>
      <c r="AG41" s="6">
        <v>75916</v>
      </c>
      <c r="AH41" s="6">
        <v>71642</v>
      </c>
      <c r="AI41" s="6">
        <v>79769</v>
      </c>
      <c r="AJ41" s="6">
        <v>87755</v>
      </c>
      <c r="AK41" s="6">
        <v>93932</v>
      </c>
      <c r="AL41" s="6">
        <v>95902</v>
      </c>
      <c r="AM41" s="6">
        <v>92443</v>
      </c>
      <c r="AN41" s="6">
        <v>101253</v>
      </c>
      <c r="AO41" s="6">
        <v>88582</v>
      </c>
      <c r="AP41" s="6">
        <v>87447</v>
      </c>
      <c r="AQ41" s="6">
        <v>98239</v>
      </c>
      <c r="AR41" s="6">
        <v>89867</v>
      </c>
      <c r="AS41" s="6">
        <v>92121</v>
      </c>
      <c r="AT41" s="6">
        <v>90344</v>
      </c>
      <c r="AU41" s="6">
        <v>96561</v>
      </c>
      <c r="AV41" s="6">
        <v>101556</v>
      </c>
      <c r="AW41" s="6">
        <v>102639</v>
      </c>
      <c r="AX41" s="6">
        <v>105361</v>
      </c>
      <c r="AY41" s="6">
        <v>102396</v>
      </c>
      <c r="AZ41" s="6">
        <v>112540</v>
      </c>
      <c r="BA41" s="6">
        <v>93452</v>
      </c>
      <c r="BB41" s="6">
        <v>96997</v>
      </c>
      <c r="BC41" s="6">
        <v>108377</v>
      </c>
      <c r="BD41" s="6">
        <v>109868</v>
      </c>
      <c r="BE41" s="6">
        <v>109740</v>
      </c>
      <c r="BF41" s="6">
        <v>106294</v>
      </c>
      <c r="BG41" s="6">
        <v>114685</v>
      </c>
      <c r="BH41" s="6">
        <v>118786</v>
      </c>
      <c r="BI41" s="6">
        <v>116398</v>
      </c>
      <c r="BJ41" s="6">
        <v>121039</v>
      </c>
      <c r="BK41" s="6">
        <v>121283</v>
      </c>
      <c r="BL41" s="6">
        <v>137281</v>
      </c>
    </row>
    <row r="42" spans="1:64" x14ac:dyDescent="0.25">
      <c r="A42" s="1">
        <v>77</v>
      </c>
      <c r="B42" s="3" t="s">
        <v>109</v>
      </c>
      <c r="C42" s="3" t="s">
        <v>110</v>
      </c>
      <c r="D42" s="3" t="s">
        <v>111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57453</v>
      </c>
      <c r="P42" s="6">
        <v>142651</v>
      </c>
      <c r="Q42" s="6">
        <v>154480</v>
      </c>
      <c r="R42" s="6">
        <v>94709</v>
      </c>
      <c r="S42" s="6">
        <v>107283</v>
      </c>
      <c r="T42" s="6">
        <v>115248</v>
      </c>
      <c r="U42" s="6">
        <v>104278</v>
      </c>
      <c r="V42" s="6">
        <v>121803</v>
      </c>
      <c r="W42" s="6">
        <v>134223</v>
      </c>
      <c r="X42" s="6">
        <v>134074</v>
      </c>
      <c r="Y42" s="6">
        <v>120973</v>
      </c>
      <c r="Z42" s="6">
        <v>135109</v>
      </c>
      <c r="AA42" s="6">
        <v>124813</v>
      </c>
      <c r="AB42" s="6">
        <v>180873</v>
      </c>
      <c r="AC42" s="6">
        <v>185748</v>
      </c>
      <c r="AD42" s="6">
        <v>103027</v>
      </c>
      <c r="AE42" s="6">
        <v>135538</v>
      </c>
      <c r="AF42" s="6">
        <v>99077</v>
      </c>
      <c r="AG42" s="6">
        <v>108304</v>
      </c>
      <c r="AH42" s="6">
        <v>112837</v>
      </c>
      <c r="AI42" s="6">
        <v>117715</v>
      </c>
      <c r="AJ42" s="6">
        <v>121292</v>
      </c>
      <c r="AK42" s="6">
        <v>105371</v>
      </c>
      <c r="AL42" s="6">
        <v>125948</v>
      </c>
      <c r="AM42" s="6">
        <v>123419</v>
      </c>
      <c r="AN42" s="6">
        <v>168667</v>
      </c>
      <c r="AO42" s="6">
        <v>180792</v>
      </c>
      <c r="AP42" s="6">
        <v>98445</v>
      </c>
      <c r="AQ42" s="6">
        <v>111847</v>
      </c>
      <c r="AR42" s="6">
        <v>134794</v>
      </c>
      <c r="AS42" s="6">
        <v>126710</v>
      </c>
      <c r="AT42" s="6">
        <v>131718</v>
      </c>
      <c r="AU42" s="6">
        <v>129937</v>
      </c>
      <c r="AV42" s="6">
        <v>132154</v>
      </c>
      <c r="AW42" s="6">
        <v>115691</v>
      </c>
      <c r="AX42" s="6">
        <v>138126</v>
      </c>
      <c r="AY42" s="6">
        <v>131109</v>
      </c>
      <c r="AZ42" s="6">
        <v>184531</v>
      </c>
      <c r="BA42" s="6">
        <v>191762</v>
      </c>
      <c r="BB42" s="6">
        <v>103556</v>
      </c>
      <c r="BC42" s="6">
        <v>134299</v>
      </c>
      <c r="BD42" s="6">
        <v>119646</v>
      </c>
      <c r="BE42" s="6">
        <v>113442</v>
      </c>
      <c r="BF42" s="6">
        <v>126014</v>
      </c>
      <c r="BG42" s="6">
        <v>131813</v>
      </c>
      <c r="BH42" s="6">
        <v>127193</v>
      </c>
      <c r="BI42" s="6">
        <v>111517</v>
      </c>
      <c r="BJ42" s="6">
        <v>129817</v>
      </c>
      <c r="BK42" s="6">
        <v>128384</v>
      </c>
      <c r="BL42" s="6">
        <v>190185</v>
      </c>
    </row>
    <row r="43" spans="1:64" x14ac:dyDescent="0.25">
      <c r="A43" s="8">
        <v>31</v>
      </c>
      <c r="B43" s="8" t="s">
        <v>48</v>
      </c>
      <c r="C43" s="8" t="s">
        <v>49</v>
      </c>
      <c r="D43" s="8" t="s">
        <v>50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41298</v>
      </c>
      <c r="AI43" s="6">
        <v>122051</v>
      </c>
      <c r="AJ43" s="6">
        <v>110620</v>
      </c>
      <c r="AK43" s="6">
        <v>97886</v>
      </c>
      <c r="AL43" s="6">
        <v>115023</v>
      </c>
      <c r="AM43" s="6">
        <v>109246</v>
      </c>
      <c r="AN43" s="6">
        <v>139593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</row>
    <row r="44" spans="1:64" x14ac:dyDescent="0.25">
      <c r="A44" s="8">
        <v>134</v>
      </c>
      <c r="B44" s="8" t="s">
        <v>199</v>
      </c>
      <c r="C44" s="8" t="s">
        <v>200</v>
      </c>
      <c r="D44" s="8" t="s">
        <v>50</v>
      </c>
      <c r="E44" s="6">
        <v>126970</v>
      </c>
      <c r="F44" s="6">
        <v>89222</v>
      </c>
      <c r="G44" s="6">
        <v>95037</v>
      </c>
      <c r="H44" s="6">
        <v>110216</v>
      </c>
      <c r="I44" s="6">
        <v>85349</v>
      </c>
      <c r="J44" s="6">
        <v>119215</v>
      </c>
      <c r="K44" s="6">
        <v>110338</v>
      </c>
      <c r="L44" s="6">
        <v>103150</v>
      </c>
      <c r="M44" s="6">
        <v>94599</v>
      </c>
      <c r="N44" s="6">
        <v>108920</v>
      </c>
      <c r="O44" s="6">
        <v>102750</v>
      </c>
      <c r="P44" s="6">
        <v>131446</v>
      </c>
      <c r="Q44" s="6">
        <v>126687</v>
      </c>
      <c r="R44" s="6">
        <v>84261</v>
      </c>
      <c r="S44" s="6">
        <v>98687</v>
      </c>
      <c r="T44" s="6">
        <v>102209</v>
      </c>
      <c r="U44" s="6">
        <v>97660</v>
      </c>
      <c r="V44" s="6">
        <v>125220</v>
      </c>
      <c r="W44" s="6">
        <v>112379</v>
      </c>
      <c r="X44" s="6">
        <v>105721</v>
      </c>
      <c r="Y44" s="6">
        <v>95457</v>
      </c>
      <c r="Z44" s="6">
        <v>110423</v>
      </c>
      <c r="AA44" s="6">
        <v>103972</v>
      </c>
      <c r="AB44" s="6">
        <v>136824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41298</v>
      </c>
      <c r="AI44" s="6">
        <v>122051</v>
      </c>
      <c r="AJ44" s="6">
        <v>110620</v>
      </c>
      <c r="AK44" s="6">
        <v>97886</v>
      </c>
      <c r="AL44" s="6">
        <v>115023</v>
      </c>
      <c r="AM44" s="6">
        <v>109246</v>
      </c>
      <c r="AN44" s="6">
        <v>139593</v>
      </c>
      <c r="AO44" s="6">
        <v>137859</v>
      </c>
      <c r="AP44" s="6">
        <v>88554</v>
      </c>
      <c r="AQ44" s="6">
        <v>100269</v>
      </c>
      <c r="AR44" s="6">
        <v>118793</v>
      </c>
      <c r="AS44" s="6">
        <v>100145</v>
      </c>
      <c r="AT44" s="6">
        <v>120150</v>
      </c>
      <c r="AU44" s="6">
        <v>126602</v>
      </c>
      <c r="AV44" s="6">
        <v>109917</v>
      </c>
      <c r="AW44" s="6">
        <v>98084</v>
      </c>
      <c r="AX44" s="6">
        <v>114768</v>
      </c>
      <c r="AY44" s="6">
        <v>109578</v>
      </c>
      <c r="AZ44" s="6">
        <v>146144</v>
      </c>
      <c r="BA44" s="6">
        <v>143371</v>
      </c>
      <c r="BB44" s="6">
        <v>89177</v>
      </c>
      <c r="BC44" s="6">
        <v>119658</v>
      </c>
      <c r="BD44" s="6">
        <v>102212</v>
      </c>
      <c r="BE44" s="6">
        <v>101423</v>
      </c>
      <c r="BF44" s="6">
        <v>122572</v>
      </c>
      <c r="BG44" s="6">
        <v>126207</v>
      </c>
      <c r="BH44" s="6">
        <v>110736</v>
      </c>
      <c r="BI44" s="6">
        <v>99276</v>
      </c>
      <c r="BJ44" s="6">
        <v>117698</v>
      </c>
      <c r="BK44" s="6">
        <v>112811</v>
      </c>
      <c r="BL44" s="6">
        <v>145866</v>
      </c>
    </row>
    <row r="45" spans="1:64" x14ac:dyDescent="0.25">
      <c r="A45" s="8">
        <v>69</v>
      </c>
      <c r="B45" s="8" t="s">
        <v>95</v>
      </c>
      <c r="C45" s="8" t="s">
        <v>96</v>
      </c>
      <c r="D45" s="8" t="s">
        <v>99</v>
      </c>
      <c r="E45" s="6">
        <v>161227</v>
      </c>
      <c r="F45" s="6">
        <v>128815</v>
      </c>
      <c r="G45" s="6">
        <v>141765</v>
      </c>
      <c r="H45" s="6">
        <v>149031</v>
      </c>
      <c r="I45" s="6">
        <v>140918</v>
      </c>
      <c r="J45" s="6">
        <v>146426</v>
      </c>
      <c r="K45" s="6">
        <v>160124</v>
      </c>
      <c r="L45" s="6">
        <v>158045</v>
      </c>
      <c r="M45" s="6">
        <v>143844</v>
      </c>
      <c r="N45" s="6">
        <v>152908</v>
      </c>
      <c r="O45" s="6">
        <v>176330</v>
      </c>
      <c r="P45" s="6">
        <v>183110</v>
      </c>
      <c r="Q45" s="6">
        <v>183020</v>
      </c>
      <c r="R45" s="6">
        <v>144988</v>
      </c>
      <c r="S45" s="6">
        <v>152616</v>
      </c>
      <c r="T45" s="6">
        <v>165665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</row>
    <row r="46" spans="1:64" s="10" customFormat="1" x14ac:dyDescent="0.25">
      <c r="A46" s="8">
        <v>145</v>
      </c>
      <c r="B46" s="8" t="s">
        <v>216</v>
      </c>
      <c r="C46" s="8" t="s">
        <v>217</v>
      </c>
      <c r="D46" s="8" t="s">
        <v>99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24337</v>
      </c>
      <c r="AA46" s="6">
        <v>178209</v>
      </c>
      <c r="AB46" s="6">
        <v>218866</v>
      </c>
      <c r="AC46" s="6">
        <v>208113</v>
      </c>
      <c r="AD46" s="6">
        <v>170098</v>
      </c>
      <c r="AE46" s="6">
        <v>196233</v>
      </c>
      <c r="AF46" s="6">
        <v>181944</v>
      </c>
      <c r="AG46" s="6">
        <v>191710</v>
      </c>
      <c r="AH46" s="6">
        <v>148897</v>
      </c>
      <c r="AI46" s="6">
        <v>171091</v>
      </c>
      <c r="AJ46" s="6">
        <v>218581</v>
      </c>
      <c r="AK46" s="6">
        <v>183318</v>
      </c>
      <c r="AL46" s="6">
        <v>190771</v>
      </c>
      <c r="AM46" s="6">
        <v>191326</v>
      </c>
      <c r="AN46" s="6">
        <v>223790</v>
      </c>
      <c r="AO46" s="6">
        <v>210720</v>
      </c>
      <c r="AP46" s="6">
        <v>166320</v>
      </c>
      <c r="AQ46" s="6">
        <v>172627</v>
      </c>
      <c r="AR46" s="6">
        <v>181314</v>
      </c>
      <c r="AS46" s="6">
        <v>177797</v>
      </c>
      <c r="AT46" s="6">
        <v>177723</v>
      </c>
      <c r="AU46" s="6">
        <v>198242</v>
      </c>
      <c r="AV46" s="6">
        <v>195191</v>
      </c>
      <c r="AW46" s="6">
        <v>179543</v>
      </c>
      <c r="AX46" s="6">
        <v>183131</v>
      </c>
      <c r="AY46" s="6">
        <v>182251</v>
      </c>
      <c r="AZ46" s="6">
        <v>219630</v>
      </c>
      <c r="BA46" s="6">
        <v>212383</v>
      </c>
      <c r="BB46" s="6">
        <v>166550</v>
      </c>
      <c r="BC46" s="6">
        <v>197465</v>
      </c>
      <c r="BD46" s="6">
        <v>183944</v>
      </c>
      <c r="BE46" s="6">
        <v>188553</v>
      </c>
      <c r="BF46" s="6">
        <v>187283</v>
      </c>
      <c r="BG46" s="6">
        <v>202059</v>
      </c>
      <c r="BH46" s="6">
        <v>195734</v>
      </c>
      <c r="BI46" s="6">
        <v>179559</v>
      </c>
      <c r="BJ46" s="6">
        <v>182497</v>
      </c>
      <c r="BK46" s="6">
        <v>172724</v>
      </c>
      <c r="BL46" s="6">
        <v>198026</v>
      </c>
    </row>
    <row r="47" spans="1:64" s="10" customFormat="1" x14ac:dyDescent="0.25">
      <c r="A47" s="1">
        <v>53</v>
      </c>
      <c r="B47" s="3" t="s">
        <v>79</v>
      </c>
      <c r="C47" s="3" t="s">
        <v>80</v>
      </c>
      <c r="D47" s="3" t="s">
        <v>82</v>
      </c>
      <c r="E47" s="6">
        <v>523190</v>
      </c>
      <c r="F47" s="6">
        <v>379434</v>
      </c>
      <c r="G47" s="6">
        <v>435401</v>
      </c>
      <c r="H47" s="6">
        <v>458922</v>
      </c>
      <c r="I47" s="6">
        <v>387110</v>
      </c>
      <c r="J47" s="6">
        <v>459992</v>
      </c>
      <c r="K47" s="6">
        <v>429470</v>
      </c>
      <c r="L47" s="6">
        <v>467938</v>
      </c>
      <c r="M47" s="6">
        <v>402002</v>
      </c>
      <c r="N47" s="6">
        <v>463184</v>
      </c>
      <c r="O47" s="6">
        <v>455990</v>
      </c>
      <c r="P47" s="6">
        <v>595702</v>
      </c>
      <c r="Q47" s="6">
        <v>566310</v>
      </c>
      <c r="R47" s="6">
        <v>397288</v>
      </c>
      <c r="S47" s="6">
        <v>452530</v>
      </c>
      <c r="T47" s="6">
        <v>473106</v>
      </c>
      <c r="U47" s="6">
        <v>482072</v>
      </c>
      <c r="V47" s="6">
        <v>497066</v>
      </c>
      <c r="W47" s="6">
        <v>475917</v>
      </c>
      <c r="X47" s="6">
        <v>491955</v>
      </c>
      <c r="Y47" s="6">
        <v>425196</v>
      </c>
      <c r="Z47" s="6">
        <v>503127</v>
      </c>
      <c r="AA47" s="6">
        <v>477146</v>
      </c>
      <c r="AB47" s="6">
        <v>637033</v>
      </c>
      <c r="AC47" s="6">
        <v>598914</v>
      </c>
      <c r="AD47" s="6">
        <v>428277</v>
      </c>
      <c r="AE47" s="6">
        <v>549605</v>
      </c>
      <c r="AF47" s="6">
        <v>431198</v>
      </c>
      <c r="AG47" s="6">
        <v>500518</v>
      </c>
      <c r="AH47" s="6">
        <v>473836</v>
      </c>
      <c r="AI47" s="6">
        <v>468375</v>
      </c>
      <c r="AJ47" s="6">
        <v>508969</v>
      </c>
      <c r="AK47" s="6">
        <v>455449</v>
      </c>
      <c r="AL47" s="6">
        <v>526809</v>
      </c>
      <c r="AM47" s="6">
        <v>506297</v>
      </c>
      <c r="AN47" s="6">
        <v>657040</v>
      </c>
      <c r="AO47" s="6">
        <v>624141</v>
      </c>
      <c r="AP47" s="6">
        <v>441903</v>
      </c>
      <c r="AQ47" s="6">
        <v>493820</v>
      </c>
      <c r="AR47" s="6">
        <v>554939</v>
      </c>
      <c r="AS47" s="6">
        <v>507321</v>
      </c>
      <c r="AT47" s="6">
        <v>528544</v>
      </c>
      <c r="AU47" s="6">
        <v>558741</v>
      </c>
      <c r="AV47" s="6">
        <v>547292</v>
      </c>
      <c r="AW47" s="6">
        <v>471483</v>
      </c>
      <c r="AX47" s="6">
        <v>544658</v>
      </c>
      <c r="AY47" s="6">
        <v>527903</v>
      </c>
      <c r="AZ47" s="6">
        <v>718883</v>
      </c>
      <c r="BA47" s="6">
        <v>650287</v>
      </c>
      <c r="BB47" s="6">
        <v>455763</v>
      </c>
      <c r="BC47" s="6">
        <v>591471</v>
      </c>
      <c r="BD47" s="6">
        <v>497772</v>
      </c>
      <c r="BE47" s="6">
        <v>514603</v>
      </c>
      <c r="BF47" s="6">
        <v>566983</v>
      </c>
      <c r="BG47" s="6">
        <v>592646</v>
      </c>
      <c r="BH47" s="6">
        <v>582742</v>
      </c>
      <c r="BI47" s="6">
        <v>520042</v>
      </c>
      <c r="BJ47" s="6">
        <v>577706</v>
      </c>
      <c r="BK47" s="6">
        <v>573343</v>
      </c>
      <c r="BL47" s="6">
        <v>777778</v>
      </c>
    </row>
    <row r="48" spans="1:64" x14ac:dyDescent="0.25">
      <c r="A48" s="1">
        <v>133</v>
      </c>
      <c r="B48" s="3" t="s">
        <v>195</v>
      </c>
      <c r="C48" s="3" t="s">
        <v>196</v>
      </c>
      <c r="D48" s="3" t="s">
        <v>240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0</v>
      </c>
      <c r="AD48" s="6">
        <v>0</v>
      </c>
      <c r="AE48" s="6">
        <v>0</v>
      </c>
      <c r="AF48" s="6">
        <v>13858</v>
      </c>
      <c r="AG48" s="6">
        <v>31195</v>
      </c>
      <c r="AH48" s="6">
        <v>29592</v>
      </c>
      <c r="AI48" s="6">
        <v>26848</v>
      </c>
      <c r="AJ48" s="6">
        <v>29389</v>
      </c>
      <c r="AK48" s="6">
        <v>28730</v>
      </c>
      <c r="AL48" s="6">
        <v>30060</v>
      </c>
      <c r="AM48" s="6">
        <v>29259</v>
      </c>
      <c r="AN48" s="6">
        <v>33194</v>
      </c>
      <c r="AO48" s="6">
        <v>37845</v>
      </c>
      <c r="AP48" s="6">
        <v>28537</v>
      </c>
      <c r="AQ48" s="6">
        <v>32949</v>
      </c>
      <c r="AR48" s="6">
        <v>30790</v>
      </c>
      <c r="AS48" s="6">
        <v>31797</v>
      </c>
      <c r="AT48" s="6">
        <v>29726</v>
      </c>
      <c r="AU48" s="6">
        <v>31172</v>
      </c>
      <c r="AV48" s="6">
        <v>32383</v>
      </c>
      <c r="AW48" s="6">
        <v>31454</v>
      </c>
      <c r="AX48" s="6">
        <v>31755</v>
      </c>
      <c r="AY48" s="6">
        <v>33566</v>
      </c>
      <c r="AZ48" s="6">
        <v>35993</v>
      </c>
      <c r="BA48" s="6">
        <v>38143</v>
      </c>
      <c r="BB48" s="6">
        <v>28846</v>
      </c>
      <c r="BC48" s="6">
        <v>33241</v>
      </c>
      <c r="BD48" s="6">
        <v>32290</v>
      </c>
      <c r="BE48" s="6">
        <v>35395</v>
      </c>
      <c r="BF48" s="6">
        <v>32374</v>
      </c>
      <c r="BG48" s="6">
        <v>33799</v>
      </c>
      <c r="BH48" s="6">
        <v>34938</v>
      </c>
      <c r="BI48" s="6">
        <v>33305</v>
      </c>
      <c r="BJ48" s="6">
        <v>35828</v>
      </c>
      <c r="BK48" s="6">
        <v>37878</v>
      </c>
      <c r="BL48" s="6">
        <v>40667</v>
      </c>
    </row>
    <row r="49" spans="1:64" s="10" customFormat="1" x14ac:dyDescent="0.25">
      <c r="A49" s="1">
        <v>41</v>
      </c>
      <c r="B49" s="3" t="s">
        <v>59</v>
      </c>
      <c r="C49" s="3" t="s">
        <v>60</v>
      </c>
      <c r="D49" s="3" t="s">
        <v>64</v>
      </c>
      <c r="E49" s="6">
        <v>386707</v>
      </c>
      <c r="F49" s="6">
        <v>349398</v>
      </c>
      <c r="G49" s="6">
        <v>372435</v>
      </c>
      <c r="H49" s="6">
        <v>379044</v>
      </c>
      <c r="I49" s="6">
        <v>393446</v>
      </c>
      <c r="J49" s="6">
        <v>376560</v>
      </c>
      <c r="K49" s="6">
        <v>406332</v>
      </c>
      <c r="L49" s="6">
        <v>410484</v>
      </c>
      <c r="M49" s="6">
        <v>386834</v>
      </c>
      <c r="N49" s="6">
        <v>406595</v>
      </c>
      <c r="O49" s="6">
        <v>401149</v>
      </c>
      <c r="P49" s="6">
        <v>462045</v>
      </c>
      <c r="Q49" s="6">
        <v>413662</v>
      </c>
      <c r="R49" s="6">
        <v>372064</v>
      </c>
      <c r="S49" s="6">
        <v>407867</v>
      </c>
      <c r="T49" s="6">
        <v>394552</v>
      </c>
      <c r="U49" s="6">
        <v>401575</v>
      </c>
      <c r="V49" s="6">
        <v>393890</v>
      </c>
      <c r="W49" s="6">
        <v>412808</v>
      </c>
      <c r="X49" s="6">
        <v>411793</v>
      </c>
      <c r="Y49" s="6">
        <v>387535</v>
      </c>
      <c r="Z49" s="6">
        <v>415379</v>
      </c>
      <c r="AA49" s="6">
        <v>413593</v>
      </c>
      <c r="AB49" s="6">
        <v>484494</v>
      </c>
      <c r="AC49" s="6">
        <v>425420</v>
      </c>
      <c r="AD49" s="6">
        <v>395937</v>
      </c>
      <c r="AE49" s="6">
        <v>425982</v>
      </c>
      <c r="AF49" s="6">
        <v>412043</v>
      </c>
      <c r="AG49" s="6">
        <v>439171</v>
      </c>
      <c r="AH49" s="6">
        <v>444898</v>
      </c>
      <c r="AI49" s="6">
        <v>482301</v>
      </c>
      <c r="AJ49" s="6">
        <v>468952</v>
      </c>
      <c r="AK49" s="6">
        <v>444007</v>
      </c>
      <c r="AL49" s="6">
        <v>462926</v>
      </c>
      <c r="AM49" s="6">
        <v>462372</v>
      </c>
      <c r="AN49" s="6">
        <v>524790</v>
      </c>
      <c r="AO49" s="6">
        <v>470866</v>
      </c>
      <c r="AP49" s="6">
        <v>417701</v>
      </c>
      <c r="AQ49" s="6">
        <v>467101</v>
      </c>
      <c r="AR49" s="6">
        <v>448463</v>
      </c>
      <c r="AS49" s="6">
        <v>467576</v>
      </c>
      <c r="AT49" s="6">
        <v>466668</v>
      </c>
      <c r="AU49" s="6">
        <v>489507</v>
      </c>
      <c r="AV49" s="6">
        <v>484950</v>
      </c>
      <c r="AW49" s="6">
        <v>435163</v>
      </c>
      <c r="AX49" s="6">
        <v>439326</v>
      </c>
      <c r="AY49" s="6">
        <v>448118</v>
      </c>
      <c r="AZ49" s="6">
        <v>523104</v>
      </c>
      <c r="BA49" s="6">
        <v>469229</v>
      </c>
      <c r="BB49" s="6">
        <v>423858</v>
      </c>
      <c r="BC49" s="6">
        <v>472464</v>
      </c>
      <c r="BD49" s="6">
        <v>452376</v>
      </c>
      <c r="BE49" s="6">
        <v>467533</v>
      </c>
      <c r="BF49" s="6">
        <v>460400</v>
      </c>
      <c r="BG49" s="6">
        <v>488886</v>
      </c>
      <c r="BH49" s="6">
        <v>487530</v>
      </c>
      <c r="BI49" s="6">
        <v>462452</v>
      </c>
      <c r="BJ49" s="6">
        <v>489194</v>
      </c>
      <c r="BK49" s="6">
        <v>0</v>
      </c>
      <c r="BL49" s="6">
        <v>0</v>
      </c>
    </row>
    <row r="50" spans="1:64" s="10" customFormat="1" x14ac:dyDescent="0.25">
      <c r="A50" s="8">
        <v>32</v>
      </c>
      <c r="B50" s="8" t="s">
        <v>48</v>
      </c>
      <c r="C50" s="8" t="s">
        <v>49</v>
      </c>
      <c r="D50" s="8" t="s">
        <v>51</v>
      </c>
      <c r="E50" s="6">
        <v>208013</v>
      </c>
      <c r="F50" s="6">
        <v>137398</v>
      </c>
      <c r="G50" s="6">
        <v>156018</v>
      </c>
      <c r="H50" s="6">
        <v>176901</v>
      </c>
      <c r="I50" s="6">
        <v>147757</v>
      </c>
      <c r="J50" s="6">
        <v>192198</v>
      </c>
      <c r="K50" s="6">
        <v>173086</v>
      </c>
      <c r="L50" s="6">
        <v>166212</v>
      </c>
      <c r="M50" s="6">
        <v>151429</v>
      </c>
      <c r="N50" s="6">
        <v>179063</v>
      </c>
      <c r="O50" s="6">
        <v>163236</v>
      </c>
      <c r="P50" s="6">
        <v>210150</v>
      </c>
      <c r="Q50" s="6">
        <v>211653</v>
      </c>
      <c r="R50" s="6">
        <v>135698</v>
      </c>
      <c r="S50" s="6">
        <v>160037</v>
      </c>
      <c r="T50" s="6">
        <v>165542</v>
      </c>
      <c r="U50" s="6">
        <v>164288</v>
      </c>
      <c r="V50" s="6">
        <v>209900</v>
      </c>
      <c r="W50" s="6">
        <v>187685</v>
      </c>
      <c r="X50" s="6">
        <v>179285</v>
      </c>
      <c r="Y50" s="6">
        <v>165512</v>
      </c>
      <c r="Z50" s="6">
        <v>186165</v>
      </c>
      <c r="AA50" s="6">
        <v>172002</v>
      </c>
      <c r="AB50" s="6">
        <v>221920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55020</v>
      </c>
      <c r="AI50" s="6">
        <v>159841</v>
      </c>
      <c r="AJ50" s="6">
        <v>150264</v>
      </c>
      <c r="AK50" s="6">
        <v>138367</v>
      </c>
      <c r="AL50" s="6">
        <v>158030</v>
      </c>
      <c r="AM50" s="6">
        <v>152202</v>
      </c>
      <c r="AN50" s="6">
        <v>182920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</row>
    <row r="51" spans="1:64" x14ac:dyDescent="0.25">
      <c r="A51" s="8">
        <v>135</v>
      </c>
      <c r="B51" s="8" t="s">
        <v>199</v>
      </c>
      <c r="C51" s="8" t="s">
        <v>200</v>
      </c>
      <c r="D51" s="8" t="s">
        <v>51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64054</v>
      </c>
      <c r="AI51" s="6">
        <v>208313</v>
      </c>
      <c r="AJ51" s="6">
        <v>175043</v>
      </c>
      <c r="AK51" s="6">
        <v>156165</v>
      </c>
      <c r="AL51" s="6">
        <v>183619</v>
      </c>
      <c r="AM51" s="6">
        <v>171610</v>
      </c>
      <c r="AN51" s="6">
        <v>218517</v>
      </c>
      <c r="AO51" s="6">
        <v>226527</v>
      </c>
      <c r="AP51" s="6">
        <v>142728</v>
      </c>
      <c r="AQ51" s="6">
        <v>163714</v>
      </c>
      <c r="AR51" s="6">
        <v>189181</v>
      </c>
      <c r="AS51" s="6">
        <v>165736</v>
      </c>
      <c r="AT51" s="6">
        <v>198746</v>
      </c>
      <c r="AU51" s="6">
        <v>211323</v>
      </c>
      <c r="AV51" s="6">
        <v>181534</v>
      </c>
      <c r="AW51" s="6">
        <v>158080</v>
      </c>
      <c r="AX51" s="6">
        <v>181328</v>
      </c>
      <c r="AY51" s="6">
        <v>172214</v>
      </c>
      <c r="AZ51" s="6">
        <v>229232</v>
      </c>
      <c r="BA51" s="6">
        <v>225875</v>
      </c>
      <c r="BB51" s="6">
        <v>141382</v>
      </c>
      <c r="BC51" s="6">
        <v>188927</v>
      </c>
      <c r="BD51" s="6">
        <v>158724</v>
      </c>
      <c r="BE51" s="6">
        <v>159660</v>
      </c>
      <c r="BF51" s="6">
        <v>195445</v>
      </c>
      <c r="BG51" s="6">
        <v>207789</v>
      </c>
      <c r="BH51" s="6">
        <v>182641</v>
      </c>
      <c r="BI51" s="6">
        <v>159812</v>
      </c>
      <c r="BJ51" s="6">
        <v>188083</v>
      </c>
      <c r="BK51" s="6">
        <v>177255</v>
      </c>
      <c r="BL51" s="6">
        <v>231138</v>
      </c>
    </row>
    <row r="52" spans="1:64" x14ac:dyDescent="0.25">
      <c r="A52" s="8">
        <v>113</v>
      </c>
      <c r="B52" s="8" t="s">
        <v>175</v>
      </c>
      <c r="C52" s="8" t="s">
        <v>176</v>
      </c>
      <c r="D52" s="8" t="s">
        <v>29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105892</v>
      </c>
      <c r="BA52" s="6">
        <v>83214</v>
      </c>
      <c r="BB52" s="6">
        <v>95321</v>
      </c>
      <c r="BC52" s="6">
        <v>104468</v>
      </c>
      <c r="BD52" s="6">
        <v>92256</v>
      </c>
      <c r="BE52" s="6">
        <v>101181</v>
      </c>
      <c r="BF52" s="6">
        <v>98963</v>
      </c>
      <c r="BG52" s="6">
        <v>92087</v>
      </c>
      <c r="BH52" s="6">
        <v>122218</v>
      </c>
      <c r="BI52" s="6">
        <v>123667</v>
      </c>
      <c r="BJ52" s="6">
        <v>114977</v>
      </c>
      <c r="BK52" s="6">
        <v>116932</v>
      </c>
      <c r="BL52" s="6">
        <v>125032</v>
      </c>
    </row>
    <row r="53" spans="1:64" s="10" customFormat="1" x14ac:dyDescent="0.25">
      <c r="A53" s="8">
        <v>18</v>
      </c>
      <c r="B53" s="8" t="s">
        <v>26</v>
      </c>
      <c r="C53" s="8" t="s">
        <v>27</v>
      </c>
      <c r="D53" s="8" t="s">
        <v>29</v>
      </c>
      <c r="E53" s="6">
        <v>63336</v>
      </c>
      <c r="F53" s="6">
        <v>75380</v>
      </c>
      <c r="G53" s="6">
        <v>90937</v>
      </c>
      <c r="H53" s="6">
        <v>82944</v>
      </c>
      <c r="I53" s="6">
        <v>89011</v>
      </c>
      <c r="J53" s="6">
        <v>71794</v>
      </c>
      <c r="K53" s="6">
        <v>71306</v>
      </c>
      <c r="L53" s="6">
        <v>88000</v>
      </c>
      <c r="M53" s="6">
        <v>80288</v>
      </c>
      <c r="N53" s="6">
        <v>77157</v>
      </c>
      <c r="O53" s="6">
        <v>79945</v>
      </c>
      <c r="P53" s="6">
        <v>78111</v>
      </c>
      <c r="Q53" s="6">
        <v>65331</v>
      </c>
      <c r="R53" s="6">
        <v>80719</v>
      </c>
      <c r="S53" s="6">
        <v>91742</v>
      </c>
      <c r="T53" s="6">
        <v>80962</v>
      </c>
      <c r="U53" s="6">
        <v>96886</v>
      </c>
      <c r="V53" s="6">
        <v>87925</v>
      </c>
      <c r="W53" s="6">
        <v>83680</v>
      </c>
      <c r="X53" s="6">
        <v>98808</v>
      </c>
      <c r="Y53" s="6">
        <v>96137</v>
      </c>
      <c r="Z53" s="6">
        <v>107891</v>
      </c>
      <c r="AA53" s="6">
        <v>104613</v>
      </c>
      <c r="AB53" s="6">
        <v>105157</v>
      </c>
      <c r="AC53" s="6">
        <v>85477</v>
      </c>
      <c r="AD53" s="6">
        <v>96283</v>
      </c>
      <c r="AE53" s="6">
        <v>99700</v>
      </c>
      <c r="AF53" s="6">
        <v>104633</v>
      </c>
      <c r="AG53" s="6">
        <v>108070</v>
      </c>
      <c r="AH53" s="6">
        <v>96278</v>
      </c>
      <c r="AI53" s="6">
        <v>89580</v>
      </c>
      <c r="AJ53" s="6">
        <v>104129</v>
      </c>
      <c r="AK53" s="6">
        <v>108411</v>
      </c>
      <c r="AL53" s="6">
        <v>104041</v>
      </c>
      <c r="AM53" s="6">
        <v>105452</v>
      </c>
      <c r="AN53" s="6">
        <v>107204</v>
      </c>
      <c r="AO53" s="6">
        <v>85939</v>
      </c>
      <c r="AP53" s="6">
        <v>102513</v>
      </c>
      <c r="AQ53" s="6">
        <v>116318</v>
      </c>
      <c r="AR53" s="6">
        <v>99349</v>
      </c>
      <c r="AS53" s="6">
        <v>104045</v>
      </c>
      <c r="AT53" s="6">
        <v>93299</v>
      </c>
      <c r="AU53" s="6">
        <v>88987</v>
      </c>
      <c r="AV53" s="6">
        <v>104894</v>
      </c>
      <c r="AW53" s="6">
        <v>97899</v>
      </c>
      <c r="AX53" s="6">
        <v>97687</v>
      </c>
      <c r="AY53" s="6">
        <v>99923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</row>
    <row r="54" spans="1:64" s="10" customFormat="1" x14ac:dyDescent="0.25">
      <c r="A54" s="8">
        <v>105</v>
      </c>
      <c r="B54" s="8" t="s">
        <v>163</v>
      </c>
      <c r="C54" s="8" t="s">
        <v>164</v>
      </c>
      <c r="D54" s="8" t="s">
        <v>103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7029</v>
      </c>
    </row>
    <row r="55" spans="1:64" s="10" customFormat="1" x14ac:dyDescent="0.25">
      <c r="A55" s="8">
        <v>71</v>
      </c>
      <c r="B55" s="8" t="s">
        <v>100</v>
      </c>
      <c r="C55" s="8" t="s">
        <v>101</v>
      </c>
      <c r="D55" s="8" t="s">
        <v>103</v>
      </c>
      <c r="E55" s="6">
        <v>206165</v>
      </c>
      <c r="F55" s="6">
        <v>192906</v>
      </c>
      <c r="G55" s="6">
        <v>211873</v>
      </c>
      <c r="H55" s="6">
        <v>204527</v>
      </c>
      <c r="I55" s="6">
        <v>209918</v>
      </c>
      <c r="J55" s="6">
        <v>196433</v>
      </c>
      <c r="K55" s="6">
        <v>207648</v>
      </c>
      <c r="L55" s="6">
        <v>201033</v>
      </c>
      <c r="M55" s="6">
        <v>196777</v>
      </c>
      <c r="N55" s="6">
        <v>206285</v>
      </c>
      <c r="O55" s="6">
        <v>203806</v>
      </c>
      <c r="P55" s="6">
        <v>221285</v>
      </c>
      <c r="Q55" s="6">
        <v>207458</v>
      </c>
      <c r="R55" s="6">
        <v>193804</v>
      </c>
      <c r="S55" s="6">
        <v>221481</v>
      </c>
      <c r="T55" s="6">
        <v>211642</v>
      </c>
      <c r="U55" s="6">
        <v>213355</v>
      </c>
      <c r="V55" s="6">
        <v>212834</v>
      </c>
      <c r="W55" s="6">
        <v>227442</v>
      </c>
      <c r="X55" s="6">
        <v>227244</v>
      </c>
      <c r="Y55" s="6">
        <v>221106</v>
      </c>
      <c r="Z55" s="6">
        <v>235788</v>
      </c>
      <c r="AA55" s="6">
        <v>227280</v>
      </c>
      <c r="AB55" s="6">
        <v>251130</v>
      </c>
      <c r="AC55" s="6">
        <v>229113</v>
      </c>
      <c r="AD55" s="6">
        <v>210508</v>
      </c>
      <c r="AE55" s="6">
        <v>229872</v>
      </c>
      <c r="AF55" s="6">
        <v>215015</v>
      </c>
      <c r="AG55" s="6">
        <v>219500</v>
      </c>
      <c r="AH55" s="6">
        <v>213009</v>
      </c>
      <c r="AI55" s="6">
        <v>223793</v>
      </c>
      <c r="AJ55" s="6">
        <v>221567</v>
      </c>
      <c r="AK55" s="6">
        <v>213679</v>
      </c>
      <c r="AL55" s="6">
        <v>222279</v>
      </c>
      <c r="AM55" s="6">
        <v>218493</v>
      </c>
      <c r="AN55" s="6">
        <v>243956</v>
      </c>
      <c r="AO55" s="6">
        <v>221997</v>
      </c>
      <c r="AP55" s="6">
        <v>204972</v>
      </c>
      <c r="AQ55" s="6">
        <v>232221</v>
      </c>
      <c r="AR55" s="6">
        <v>216319</v>
      </c>
      <c r="AS55" s="6">
        <v>220165</v>
      </c>
      <c r="AT55" s="6">
        <v>217578</v>
      </c>
      <c r="AU55" s="6">
        <v>231602</v>
      </c>
      <c r="AV55" s="6">
        <v>233998</v>
      </c>
      <c r="AW55" s="6">
        <v>221226</v>
      </c>
      <c r="AX55" s="6">
        <v>226152</v>
      </c>
      <c r="AY55" s="6">
        <v>226875</v>
      </c>
      <c r="AZ55" s="6">
        <v>244524</v>
      </c>
      <c r="BA55" s="6">
        <v>228982</v>
      </c>
      <c r="BB55" s="6">
        <v>203910</v>
      </c>
      <c r="BC55" s="6">
        <v>238032</v>
      </c>
      <c r="BD55" s="6">
        <v>224850</v>
      </c>
      <c r="BE55" s="6">
        <v>224452</v>
      </c>
      <c r="BF55" s="6">
        <v>218380</v>
      </c>
      <c r="BG55" s="6">
        <v>228815</v>
      </c>
      <c r="BH55" s="6">
        <v>233013</v>
      </c>
      <c r="BI55" s="6">
        <v>222630</v>
      </c>
      <c r="BJ55" s="6">
        <v>228351</v>
      </c>
      <c r="BK55" s="6">
        <v>223998</v>
      </c>
      <c r="BL55" s="6">
        <v>242437</v>
      </c>
    </row>
    <row r="56" spans="1:64" s="10" customFormat="1" x14ac:dyDescent="0.25">
      <c r="A56" s="1">
        <v>79</v>
      </c>
      <c r="B56" s="3" t="s">
        <v>112</v>
      </c>
      <c r="C56" s="3" t="s">
        <v>113</v>
      </c>
      <c r="D56" s="3" t="s">
        <v>115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0</v>
      </c>
      <c r="AD56" s="6">
        <v>0</v>
      </c>
      <c r="AE56" s="6">
        <v>0</v>
      </c>
      <c r="AF56" s="6">
        <v>15697200</v>
      </c>
      <c r="AG56" s="6">
        <v>27052700</v>
      </c>
      <c r="AH56" s="6">
        <v>18442400</v>
      </c>
      <c r="AI56" s="6">
        <v>16223200</v>
      </c>
      <c r="AJ56" s="6">
        <v>57026900</v>
      </c>
      <c r="AK56" s="6">
        <v>104667700</v>
      </c>
      <c r="AL56" s="6">
        <v>40580900</v>
      </c>
      <c r="AM56" s="6">
        <v>61982200</v>
      </c>
      <c r="AN56" s="6">
        <v>34759400</v>
      </c>
      <c r="AO56" s="6">
        <v>43468</v>
      </c>
      <c r="AP56" s="6">
        <v>39611</v>
      </c>
      <c r="AQ56" s="6">
        <v>39948</v>
      </c>
      <c r="AR56" s="6">
        <v>39426</v>
      </c>
      <c r="AS56" s="6">
        <v>38891</v>
      </c>
      <c r="AT56" s="6">
        <v>36047</v>
      </c>
      <c r="AU56" s="6">
        <v>39373</v>
      </c>
      <c r="AV56" s="6">
        <v>38709</v>
      </c>
      <c r="AW56" s="6">
        <v>37349</v>
      </c>
      <c r="AX56" s="6">
        <v>25556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</row>
    <row r="57" spans="1:64" s="10" customFormat="1" x14ac:dyDescent="0.25">
      <c r="A57" s="1">
        <v>72</v>
      </c>
      <c r="B57" s="3" t="s">
        <v>100</v>
      </c>
      <c r="C57" s="3" t="s">
        <v>101</v>
      </c>
      <c r="D57" s="3" t="s">
        <v>104</v>
      </c>
      <c r="E57" s="6">
        <v>174450</v>
      </c>
      <c r="F57" s="6">
        <v>130520</v>
      </c>
      <c r="G57" s="6">
        <v>144621</v>
      </c>
      <c r="H57" s="6">
        <v>161510</v>
      </c>
      <c r="I57" s="6">
        <v>142533</v>
      </c>
      <c r="J57" s="6">
        <v>144046</v>
      </c>
      <c r="K57" s="6">
        <v>152646</v>
      </c>
      <c r="L57" s="6">
        <v>152486</v>
      </c>
      <c r="M57" s="6">
        <v>142413</v>
      </c>
      <c r="N57" s="6">
        <v>154279</v>
      </c>
      <c r="O57" s="6">
        <v>145553</v>
      </c>
      <c r="P57" s="6">
        <v>180283</v>
      </c>
      <c r="Q57" s="6">
        <v>187069</v>
      </c>
      <c r="R57" s="6">
        <v>139946</v>
      </c>
      <c r="S57" s="6">
        <v>152315</v>
      </c>
      <c r="T57" s="6">
        <v>165795</v>
      </c>
      <c r="U57" s="6">
        <v>156903</v>
      </c>
      <c r="V57" s="6">
        <v>161780</v>
      </c>
      <c r="W57" s="6">
        <v>169093</v>
      </c>
      <c r="X57" s="6">
        <v>164740</v>
      </c>
      <c r="Y57" s="6">
        <v>155446</v>
      </c>
      <c r="Z57" s="6">
        <v>174993</v>
      </c>
      <c r="AA57" s="6">
        <v>163749</v>
      </c>
      <c r="AB57" s="6">
        <v>194039</v>
      </c>
      <c r="AC57" s="6">
        <v>208300</v>
      </c>
      <c r="AD57" s="6">
        <v>158315</v>
      </c>
      <c r="AE57" s="6">
        <v>186899</v>
      </c>
      <c r="AF57" s="6">
        <v>156479</v>
      </c>
      <c r="AG57" s="6">
        <v>160005</v>
      </c>
      <c r="AH57" s="6">
        <v>158750</v>
      </c>
      <c r="AI57" s="6">
        <v>163172</v>
      </c>
      <c r="AJ57" s="6">
        <v>170170</v>
      </c>
      <c r="AK57" s="6">
        <v>157297</v>
      </c>
      <c r="AL57" s="6">
        <v>165673</v>
      </c>
      <c r="AM57" s="6">
        <v>159844</v>
      </c>
      <c r="AN57" s="6">
        <v>191344</v>
      </c>
      <c r="AO57" s="6">
        <v>199414</v>
      </c>
      <c r="AP57" s="6">
        <v>145035</v>
      </c>
      <c r="AQ57" s="6">
        <v>161979</v>
      </c>
      <c r="AR57" s="6">
        <v>179101</v>
      </c>
      <c r="AS57" s="6">
        <v>160478</v>
      </c>
      <c r="AT57" s="6">
        <v>167422</v>
      </c>
      <c r="AU57" s="6">
        <v>171437</v>
      </c>
      <c r="AV57" s="6">
        <v>165049</v>
      </c>
      <c r="AW57" s="6">
        <v>156902</v>
      </c>
      <c r="AX57" s="6">
        <v>166208</v>
      </c>
      <c r="AY57" s="6">
        <v>162387</v>
      </c>
      <c r="AZ57" s="6">
        <v>196437</v>
      </c>
      <c r="BA57" s="6">
        <v>205424</v>
      </c>
      <c r="BB57" s="6">
        <v>149429</v>
      </c>
      <c r="BC57" s="6">
        <v>181586</v>
      </c>
      <c r="BD57" s="6">
        <v>168728</v>
      </c>
      <c r="BE57" s="6">
        <v>161927</v>
      </c>
      <c r="BF57" s="6">
        <v>164692</v>
      </c>
      <c r="BG57" s="6">
        <v>173637</v>
      </c>
      <c r="BH57" s="6">
        <v>171901</v>
      </c>
      <c r="BI57" s="6">
        <v>159108</v>
      </c>
      <c r="BJ57" s="6">
        <v>172247</v>
      </c>
      <c r="BK57" s="6">
        <v>161680</v>
      </c>
      <c r="BL57" s="6">
        <v>197562</v>
      </c>
    </row>
    <row r="58" spans="1:64" s="10" customFormat="1" x14ac:dyDescent="0.25">
      <c r="A58" s="1">
        <v>65</v>
      </c>
      <c r="B58" s="3" t="s">
        <v>88</v>
      </c>
      <c r="C58" s="3" t="s">
        <v>89</v>
      </c>
      <c r="D58" s="3" t="s">
        <v>91</v>
      </c>
      <c r="E58" s="6">
        <v>445707</v>
      </c>
      <c r="F58" s="6">
        <v>333421</v>
      </c>
      <c r="G58" s="6">
        <v>362654</v>
      </c>
      <c r="H58" s="6">
        <v>401085</v>
      </c>
      <c r="I58" s="6">
        <v>363792</v>
      </c>
      <c r="J58" s="6">
        <v>395251</v>
      </c>
      <c r="K58" s="6">
        <v>406965</v>
      </c>
      <c r="L58" s="6">
        <v>396631</v>
      </c>
      <c r="M58" s="6">
        <v>365335</v>
      </c>
      <c r="N58" s="6">
        <v>409722</v>
      </c>
      <c r="O58" s="6">
        <v>406803</v>
      </c>
      <c r="P58" s="6">
        <v>481875</v>
      </c>
      <c r="Q58" s="6">
        <v>469983</v>
      </c>
      <c r="R58" s="6">
        <v>340132</v>
      </c>
      <c r="S58" s="6">
        <v>388996</v>
      </c>
      <c r="T58" s="6">
        <v>399538</v>
      </c>
      <c r="U58" s="6">
        <v>392882</v>
      </c>
      <c r="V58" s="6">
        <v>430746</v>
      </c>
      <c r="W58" s="6">
        <v>432285</v>
      </c>
      <c r="X58" s="6">
        <v>416409</v>
      </c>
      <c r="Y58" s="6">
        <v>387483</v>
      </c>
      <c r="Z58" s="6">
        <v>432118</v>
      </c>
      <c r="AA58" s="6">
        <v>407740</v>
      </c>
      <c r="AB58" s="6">
        <v>516075</v>
      </c>
      <c r="AC58" s="6">
        <v>499054</v>
      </c>
      <c r="AD58" s="6">
        <v>359078</v>
      </c>
      <c r="AE58" s="6">
        <v>444072</v>
      </c>
      <c r="AF58" s="6">
        <v>377511</v>
      </c>
      <c r="AG58" s="6">
        <v>408079</v>
      </c>
      <c r="AH58" s="6">
        <v>404752</v>
      </c>
      <c r="AI58" s="6">
        <v>432111</v>
      </c>
      <c r="AJ58" s="6">
        <v>439144</v>
      </c>
      <c r="AK58" s="6">
        <v>398181</v>
      </c>
      <c r="AL58" s="6">
        <v>441263</v>
      </c>
      <c r="AM58" s="6">
        <v>423886</v>
      </c>
      <c r="AN58" s="6">
        <v>515713</v>
      </c>
      <c r="AO58" s="6">
        <v>507555</v>
      </c>
      <c r="AP58" s="6">
        <v>360786</v>
      </c>
      <c r="AQ58" s="6">
        <v>400322</v>
      </c>
      <c r="AR58" s="6">
        <v>438426</v>
      </c>
      <c r="AS58" s="6">
        <v>387535</v>
      </c>
      <c r="AT58" s="6">
        <v>438543</v>
      </c>
      <c r="AU58" s="6">
        <v>454454</v>
      </c>
      <c r="AV58" s="6">
        <v>434646</v>
      </c>
      <c r="AW58" s="6">
        <v>404598</v>
      </c>
      <c r="AX58" s="6">
        <v>445431</v>
      </c>
      <c r="AY58" s="6">
        <v>425277</v>
      </c>
      <c r="AZ58" s="6">
        <v>528808</v>
      </c>
      <c r="BA58" s="6">
        <v>509402</v>
      </c>
      <c r="BB58" s="6">
        <v>362739</v>
      </c>
      <c r="BC58" s="6">
        <v>442517</v>
      </c>
      <c r="BD58" s="6">
        <v>399829</v>
      </c>
      <c r="BE58" s="6">
        <v>398383</v>
      </c>
      <c r="BF58" s="6">
        <v>433402</v>
      </c>
      <c r="BG58" s="6">
        <v>451034</v>
      </c>
      <c r="BH58" s="6">
        <v>430513</v>
      </c>
      <c r="BI58" s="6">
        <v>395993</v>
      </c>
      <c r="BJ58" s="6">
        <v>448546</v>
      </c>
      <c r="BK58" s="6">
        <v>430206</v>
      </c>
      <c r="BL58" s="6">
        <v>515008</v>
      </c>
    </row>
    <row r="59" spans="1:64" x14ac:dyDescent="0.25">
      <c r="A59" s="1">
        <v>21</v>
      </c>
      <c r="B59" s="3" t="s">
        <v>31</v>
      </c>
      <c r="C59" s="3" t="s">
        <v>32</v>
      </c>
      <c r="D59" s="3" t="s">
        <v>34</v>
      </c>
      <c r="E59" s="6">
        <v>578279</v>
      </c>
      <c r="F59" s="6">
        <v>459768</v>
      </c>
      <c r="G59" s="6">
        <v>514722</v>
      </c>
      <c r="H59" s="6">
        <v>518362</v>
      </c>
      <c r="I59" s="6">
        <v>502847</v>
      </c>
      <c r="J59" s="6">
        <v>536853</v>
      </c>
      <c r="K59" s="6">
        <v>524995</v>
      </c>
      <c r="L59" s="6">
        <v>558216</v>
      </c>
      <c r="M59" s="6">
        <v>501653</v>
      </c>
      <c r="N59" s="6">
        <v>536121</v>
      </c>
      <c r="O59" s="6">
        <v>529705</v>
      </c>
      <c r="P59" s="6">
        <v>626659</v>
      </c>
      <c r="Q59" s="6">
        <v>626004</v>
      </c>
      <c r="R59" s="6">
        <v>477935</v>
      </c>
      <c r="S59" s="6">
        <v>534719</v>
      </c>
      <c r="T59" s="6">
        <v>515949</v>
      </c>
      <c r="U59" s="6">
        <v>546018</v>
      </c>
      <c r="V59" s="6">
        <v>578422</v>
      </c>
      <c r="W59" s="6">
        <v>574667</v>
      </c>
      <c r="X59" s="6">
        <v>588633</v>
      </c>
      <c r="Y59" s="6">
        <v>538717</v>
      </c>
      <c r="Z59" s="6">
        <v>575813</v>
      </c>
      <c r="AA59" s="6">
        <v>571649</v>
      </c>
      <c r="AB59" s="6">
        <v>685407</v>
      </c>
      <c r="AC59" s="6">
        <v>679452</v>
      </c>
      <c r="AD59" s="6">
        <v>531865</v>
      </c>
      <c r="AE59" s="6">
        <v>608554</v>
      </c>
      <c r="AF59" s="6">
        <v>536188</v>
      </c>
      <c r="AG59" s="6">
        <v>596588</v>
      </c>
      <c r="AH59" s="6">
        <v>588643</v>
      </c>
      <c r="AI59" s="6">
        <v>597034</v>
      </c>
      <c r="AJ59" s="6">
        <v>634257</v>
      </c>
      <c r="AK59" s="6">
        <v>579692</v>
      </c>
      <c r="AL59" s="6">
        <v>546704</v>
      </c>
      <c r="AM59" s="6">
        <v>497690</v>
      </c>
      <c r="AN59" s="6">
        <v>600295</v>
      </c>
      <c r="AO59" s="6">
        <v>219484</v>
      </c>
      <c r="AP59" s="6">
        <v>507960</v>
      </c>
      <c r="AQ59" s="6">
        <v>562301</v>
      </c>
      <c r="AR59" s="6">
        <v>585492</v>
      </c>
      <c r="AS59" s="6">
        <v>584925</v>
      </c>
      <c r="AT59" s="6">
        <v>599108</v>
      </c>
      <c r="AU59" s="6">
        <v>639624</v>
      </c>
      <c r="AV59" s="6">
        <v>624014</v>
      </c>
      <c r="AW59" s="6">
        <v>569122</v>
      </c>
      <c r="AX59" s="6">
        <v>603463</v>
      </c>
      <c r="AY59" s="6">
        <v>606504</v>
      </c>
      <c r="AZ59" s="6">
        <v>706016</v>
      </c>
      <c r="BA59" s="6">
        <v>691087</v>
      </c>
      <c r="BB59" s="6">
        <v>549527</v>
      </c>
      <c r="BC59" s="6">
        <v>639142</v>
      </c>
      <c r="BD59" s="6">
        <v>588284</v>
      </c>
      <c r="BE59" s="6">
        <v>602788</v>
      </c>
      <c r="BF59" s="6">
        <v>647580</v>
      </c>
      <c r="BG59" s="6">
        <v>674174</v>
      </c>
      <c r="BH59" s="6">
        <v>674263</v>
      </c>
      <c r="BI59" s="6">
        <v>621268</v>
      </c>
      <c r="BJ59" s="6">
        <v>651998</v>
      </c>
      <c r="BK59" s="6">
        <v>647119</v>
      </c>
      <c r="BL59" s="6">
        <v>764383</v>
      </c>
    </row>
    <row r="60" spans="1:64" x14ac:dyDescent="0.25">
      <c r="A60" s="1">
        <v>111</v>
      </c>
      <c r="B60" s="3" t="s">
        <v>170</v>
      </c>
      <c r="C60" s="3" t="s">
        <v>171</v>
      </c>
      <c r="D60" s="3" t="s">
        <v>174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</row>
    <row r="61" spans="1:64" x14ac:dyDescent="0.25">
      <c r="A61" s="1">
        <v>124</v>
      </c>
      <c r="B61" s="3" t="s">
        <v>185</v>
      </c>
      <c r="C61" s="3" t="s">
        <v>186</v>
      </c>
      <c r="D61" s="3" t="s">
        <v>188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38994</v>
      </c>
      <c r="Y61" s="6">
        <v>114672</v>
      </c>
      <c r="Z61" s="6">
        <v>132304</v>
      </c>
      <c r="AA61" s="6">
        <v>124770</v>
      </c>
      <c r="AB61" s="6">
        <v>161004</v>
      </c>
      <c r="AC61" s="6">
        <v>170599</v>
      </c>
      <c r="AD61" s="6">
        <v>110976</v>
      </c>
      <c r="AE61" s="6">
        <v>141250</v>
      </c>
      <c r="AF61" s="6">
        <v>114929</v>
      </c>
      <c r="AG61" s="6">
        <v>124956</v>
      </c>
      <c r="AH61" s="6">
        <v>128373</v>
      </c>
      <c r="AI61" s="6">
        <v>132815</v>
      </c>
      <c r="AJ61" s="6">
        <v>136506</v>
      </c>
      <c r="AK61" s="6">
        <v>120465</v>
      </c>
      <c r="AL61" s="6">
        <v>136745</v>
      </c>
      <c r="AM61" s="6">
        <v>130147</v>
      </c>
      <c r="AN61" s="6">
        <v>163719</v>
      </c>
      <c r="AO61" s="6">
        <v>184108</v>
      </c>
      <c r="AP61" s="6">
        <v>114208</v>
      </c>
      <c r="AQ61" s="6">
        <v>124404</v>
      </c>
      <c r="AR61" s="6">
        <v>140220</v>
      </c>
      <c r="AS61" s="6">
        <v>120464</v>
      </c>
      <c r="AT61" s="6">
        <v>137265</v>
      </c>
      <c r="AU61" s="6">
        <v>138458</v>
      </c>
      <c r="AV61" s="6">
        <v>134103</v>
      </c>
      <c r="AW61" s="6">
        <v>119614</v>
      </c>
      <c r="AX61" s="6">
        <v>135273</v>
      </c>
      <c r="AY61" s="6">
        <v>129818</v>
      </c>
      <c r="AZ61" s="6">
        <v>165445</v>
      </c>
      <c r="BA61" s="6">
        <v>182806</v>
      </c>
      <c r="BB61" s="6">
        <v>117580</v>
      </c>
      <c r="BC61" s="6">
        <v>143443</v>
      </c>
      <c r="BD61" s="6">
        <v>125395</v>
      </c>
      <c r="BE61" s="6">
        <v>124952</v>
      </c>
      <c r="BF61" s="6">
        <v>136189</v>
      </c>
      <c r="BG61" s="6">
        <v>142909</v>
      </c>
      <c r="BH61" s="6">
        <v>134709</v>
      </c>
      <c r="BI61" s="6">
        <v>119229</v>
      </c>
      <c r="BJ61" s="6">
        <v>134459</v>
      </c>
      <c r="BK61" s="6">
        <v>124465</v>
      </c>
      <c r="BL61" s="6">
        <v>152496</v>
      </c>
    </row>
    <row r="62" spans="1:64" x14ac:dyDescent="0.25">
      <c r="A62" s="1">
        <v>26</v>
      </c>
      <c r="B62" s="3" t="s">
        <v>41</v>
      </c>
      <c r="C62" s="3" t="s">
        <v>42</v>
      </c>
      <c r="D62" s="3" t="s">
        <v>43</v>
      </c>
      <c r="E62" s="6">
        <v>113380</v>
      </c>
      <c r="F62" s="6">
        <v>84189</v>
      </c>
      <c r="G62" s="6">
        <v>91555</v>
      </c>
      <c r="H62" s="6">
        <v>94211</v>
      </c>
      <c r="I62" s="6">
        <v>90376</v>
      </c>
      <c r="J62" s="6">
        <v>91143</v>
      </c>
      <c r="K62" s="6">
        <v>95667</v>
      </c>
      <c r="L62" s="6">
        <v>100360</v>
      </c>
      <c r="M62" s="6">
        <v>90875</v>
      </c>
      <c r="N62" s="6">
        <v>97457</v>
      </c>
      <c r="O62" s="6">
        <v>92841</v>
      </c>
      <c r="P62" s="6">
        <v>108451</v>
      </c>
      <c r="Q62" s="6">
        <v>124470</v>
      </c>
      <c r="R62" s="6">
        <v>85497</v>
      </c>
      <c r="S62" s="6">
        <v>95537</v>
      </c>
      <c r="T62" s="6">
        <v>95397</v>
      </c>
      <c r="U62" s="6">
        <v>96232</v>
      </c>
      <c r="V62" s="6">
        <v>24804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</row>
    <row r="63" spans="1:64" x14ac:dyDescent="0.25">
      <c r="A63" s="1">
        <v>130</v>
      </c>
      <c r="B63" s="3" t="s">
        <v>195</v>
      </c>
      <c r="C63" s="3" t="s">
        <v>196</v>
      </c>
      <c r="D63" s="3" t="s">
        <v>43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71715</v>
      </c>
      <c r="W63" s="6">
        <v>97581</v>
      </c>
      <c r="X63" s="6">
        <v>104100</v>
      </c>
      <c r="Y63" s="6">
        <v>96440</v>
      </c>
      <c r="Z63" s="6">
        <v>107603</v>
      </c>
      <c r="AA63" s="6">
        <v>102310</v>
      </c>
      <c r="AB63" s="6">
        <v>117126</v>
      </c>
      <c r="AC63" s="6">
        <v>133083</v>
      </c>
      <c r="AD63" s="6">
        <v>95187</v>
      </c>
      <c r="AE63" s="6">
        <v>107072</v>
      </c>
      <c r="AF63" s="6">
        <v>94471</v>
      </c>
      <c r="AG63" s="6">
        <v>99765</v>
      </c>
      <c r="AH63" s="6">
        <v>101346</v>
      </c>
      <c r="AI63" s="6">
        <v>102774</v>
      </c>
      <c r="AJ63" s="6">
        <v>107695</v>
      </c>
      <c r="AK63" s="6">
        <v>100733</v>
      </c>
      <c r="AL63" s="6">
        <v>106630</v>
      </c>
      <c r="AM63" s="6">
        <v>105113</v>
      </c>
      <c r="AN63" s="6">
        <v>120307</v>
      </c>
      <c r="AO63" s="6">
        <v>130462</v>
      </c>
      <c r="AP63" s="6">
        <v>95760</v>
      </c>
      <c r="AQ63" s="6">
        <v>104063</v>
      </c>
      <c r="AR63" s="6">
        <v>104991</v>
      </c>
      <c r="AS63" s="6">
        <v>100118</v>
      </c>
      <c r="AT63" s="6">
        <v>98204</v>
      </c>
      <c r="AU63" s="6">
        <v>104911</v>
      </c>
      <c r="AV63" s="6">
        <v>111136</v>
      </c>
      <c r="AW63" s="6">
        <v>98929</v>
      </c>
      <c r="AX63" s="6">
        <v>106868</v>
      </c>
      <c r="AY63" s="6">
        <v>106070</v>
      </c>
      <c r="AZ63" s="6">
        <v>122230</v>
      </c>
      <c r="BA63" s="6">
        <v>128739</v>
      </c>
      <c r="BB63" s="6">
        <v>89700</v>
      </c>
      <c r="BC63" s="6">
        <v>106323</v>
      </c>
      <c r="BD63" s="6">
        <v>97267</v>
      </c>
      <c r="BE63" s="6">
        <v>95708</v>
      </c>
      <c r="BF63" s="6">
        <v>95827</v>
      </c>
      <c r="BG63" s="6">
        <v>102794</v>
      </c>
      <c r="BH63" s="6">
        <v>99967</v>
      </c>
      <c r="BI63" s="6">
        <v>95431</v>
      </c>
      <c r="BJ63" s="6">
        <v>102903</v>
      </c>
      <c r="BK63" s="6">
        <v>100835</v>
      </c>
      <c r="BL63" s="6">
        <v>119374</v>
      </c>
    </row>
    <row r="64" spans="1:64" x14ac:dyDescent="0.25">
      <c r="A64" s="1">
        <v>106</v>
      </c>
      <c r="B64" s="3" t="s">
        <v>163</v>
      </c>
      <c r="C64" s="3" t="s">
        <v>164</v>
      </c>
      <c r="D64" s="3" t="s">
        <v>165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</row>
    <row r="65" spans="1:64" x14ac:dyDescent="0.25">
      <c r="A65" s="1">
        <v>117</v>
      </c>
      <c r="B65" s="3" t="s">
        <v>177</v>
      </c>
      <c r="C65" s="3" t="s">
        <v>178</v>
      </c>
      <c r="D65" s="3" t="s">
        <v>180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16405</v>
      </c>
      <c r="AB65" s="6">
        <v>151893</v>
      </c>
      <c r="AC65" s="6">
        <v>167764</v>
      </c>
      <c r="AD65" s="6">
        <v>107243</v>
      </c>
      <c r="AE65" s="6">
        <v>129057</v>
      </c>
      <c r="AF65" s="6">
        <v>103840</v>
      </c>
      <c r="AG65" s="6">
        <v>110086</v>
      </c>
      <c r="AH65" s="6">
        <v>106122</v>
      </c>
      <c r="AI65" s="6">
        <v>97907</v>
      </c>
      <c r="AJ65" s="6">
        <v>113156</v>
      </c>
      <c r="AK65" s="6">
        <v>98690</v>
      </c>
      <c r="AL65" s="6">
        <v>106531</v>
      </c>
      <c r="AM65" s="6">
        <v>102194</v>
      </c>
      <c r="AN65" s="6">
        <v>125142</v>
      </c>
      <c r="AO65" s="6">
        <v>141415</v>
      </c>
      <c r="AP65" s="6">
        <v>86581</v>
      </c>
      <c r="AQ65" s="6">
        <v>93310</v>
      </c>
      <c r="AR65" s="6">
        <v>107914</v>
      </c>
      <c r="AS65" s="6">
        <v>87510</v>
      </c>
      <c r="AT65" s="6">
        <v>96304</v>
      </c>
      <c r="AU65" s="6">
        <v>96148</v>
      </c>
      <c r="AV65" s="6">
        <v>101112</v>
      </c>
      <c r="AW65" s="6">
        <v>90091</v>
      </c>
      <c r="AX65" s="6">
        <v>97762</v>
      </c>
      <c r="AY65" s="6">
        <v>91113</v>
      </c>
      <c r="AZ65" s="6">
        <v>125568</v>
      </c>
      <c r="BA65" s="6">
        <v>154890</v>
      </c>
      <c r="BB65" s="6">
        <v>91808</v>
      </c>
      <c r="BC65" s="6">
        <v>116155</v>
      </c>
      <c r="BD65" s="6">
        <v>104712</v>
      </c>
      <c r="BE65" s="6">
        <v>78775</v>
      </c>
      <c r="BF65" s="6">
        <v>59339</v>
      </c>
      <c r="BG65" s="6">
        <v>102404</v>
      </c>
      <c r="BH65" s="6">
        <v>106610</v>
      </c>
      <c r="BI65" s="6">
        <v>93183</v>
      </c>
      <c r="BJ65" s="6">
        <v>105480</v>
      </c>
      <c r="BK65" s="6">
        <v>102281</v>
      </c>
      <c r="BL65" s="6">
        <v>135689</v>
      </c>
    </row>
    <row r="66" spans="1:64" x14ac:dyDescent="0.25">
      <c r="A66" s="1">
        <v>141</v>
      </c>
      <c r="B66" s="3" t="s">
        <v>208</v>
      </c>
      <c r="C66" s="3" t="s">
        <v>209</v>
      </c>
      <c r="D66" s="3" t="s">
        <v>210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21329</v>
      </c>
      <c r="Q66" s="6">
        <v>54233</v>
      </c>
      <c r="R66" s="6">
        <v>46516</v>
      </c>
      <c r="S66" s="6">
        <v>53016</v>
      </c>
      <c r="T66" s="6">
        <v>49994</v>
      </c>
      <c r="U66" s="6">
        <v>56779</v>
      </c>
      <c r="V66" s="6">
        <v>50662</v>
      </c>
      <c r="W66" s="6">
        <v>51848</v>
      </c>
      <c r="X66" s="6">
        <v>57366</v>
      </c>
      <c r="Y66" s="6">
        <v>50867</v>
      </c>
      <c r="Z66" s="6">
        <v>54381</v>
      </c>
      <c r="AA66" s="6">
        <v>53774</v>
      </c>
      <c r="AB66" s="6">
        <v>56516</v>
      </c>
      <c r="AC66" s="6">
        <v>59250</v>
      </c>
      <c r="AD66" s="6">
        <v>50147</v>
      </c>
      <c r="AE66" s="6">
        <v>57752</v>
      </c>
      <c r="AF66" s="6">
        <v>50772</v>
      </c>
      <c r="AG66" s="6">
        <v>58128</v>
      </c>
      <c r="AH66" s="6">
        <v>55660</v>
      </c>
      <c r="AI66" s="6">
        <v>57389</v>
      </c>
      <c r="AJ66" s="6">
        <v>56902</v>
      </c>
      <c r="AK66" s="6">
        <v>51633</v>
      </c>
      <c r="AL66" s="6">
        <v>55783</v>
      </c>
      <c r="AM66" s="6">
        <v>53610</v>
      </c>
      <c r="AN66" s="6">
        <v>56251</v>
      </c>
      <c r="AO66" s="6">
        <v>57459</v>
      </c>
      <c r="AP66" s="6">
        <v>50300</v>
      </c>
      <c r="AQ66" s="6">
        <v>53616</v>
      </c>
      <c r="AR66" s="6">
        <v>54906</v>
      </c>
      <c r="AS66" s="6">
        <v>53371</v>
      </c>
      <c r="AT66" s="6">
        <v>48992</v>
      </c>
      <c r="AU66" s="6">
        <v>51680</v>
      </c>
      <c r="AV66" s="6">
        <v>52224</v>
      </c>
      <c r="AW66" s="6">
        <v>47153</v>
      </c>
      <c r="AX66" s="6">
        <v>50819</v>
      </c>
      <c r="AY66" s="6">
        <v>47548</v>
      </c>
      <c r="AZ66" s="6">
        <v>50832</v>
      </c>
      <c r="BA66" s="6">
        <v>51172</v>
      </c>
      <c r="BB66" s="6">
        <v>42861</v>
      </c>
      <c r="BC66" s="6">
        <v>47801</v>
      </c>
      <c r="BD66" s="6">
        <v>41754</v>
      </c>
      <c r="BE66" s="6">
        <v>37042</v>
      </c>
      <c r="BF66" s="6">
        <v>32871</v>
      </c>
      <c r="BG66" s="6">
        <v>30919</v>
      </c>
      <c r="BH66" s="6">
        <v>32202</v>
      </c>
      <c r="BI66" s="6">
        <v>35393</v>
      </c>
      <c r="BJ66" s="6">
        <v>40209</v>
      </c>
      <c r="BK66" s="6">
        <v>45235</v>
      </c>
      <c r="BL66" s="6">
        <v>52613</v>
      </c>
    </row>
    <row r="67" spans="1:64" x14ac:dyDescent="0.25">
      <c r="A67" s="1">
        <v>55</v>
      </c>
      <c r="B67" s="3" t="s">
        <v>84</v>
      </c>
      <c r="C67" s="3" t="s">
        <v>85</v>
      </c>
      <c r="D67" s="3" t="s">
        <v>86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0</v>
      </c>
      <c r="AD67" s="6">
        <v>0</v>
      </c>
      <c r="AE67" s="6">
        <v>0</v>
      </c>
      <c r="AF67" s="6">
        <v>43156</v>
      </c>
      <c r="AG67" s="6">
        <v>102925</v>
      </c>
      <c r="AH67" s="6">
        <v>102506</v>
      </c>
      <c r="AI67" s="6">
        <v>109456</v>
      </c>
      <c r="AJ67" s="6">
        <v>103542</v>
      </c>
      <c r="AK67" s="6">
        <v>96451</v>
      </c>
      <c r="AL67" s="6">
        <v>99274</v>
      </c>
      <c r="AM67" s="6">
        <v>94462</v>
      </c>
      <c r="AN67" s="6">
        <v>111557</v>
      </c>
      <c r="AO67" s="6">
        <v>125014</v>
      </c>
      <c r="AP67" s="6">
        <v>85272</v>
      </c>
      <c r="AQ67" s="6">
        <v>99095</v>
      </c>
      <c r="AR67" s="6">
        <v>112749</v>
      </c>
      <c r="AS67" s="6">
        <v>99117</v>
      </c>
      <c r="AT67" s="6">
        <v>100623</v>
      </c>
      <c r="AU67" s="6">
        <v>105880</v>
      </c>
      <c r="AV67" s="6">
        <v>102717</v>
      </c>
      <c r="AW67" s="6">
        <v>99977</v>
      </c>
      <c r="AX67" s="6">
        <v>104766</v>
      </c>
      <c r="AY67" s="6">
        <v>100350</v>
      </c>
      <c r="AZ67" s="6">
        <v>119471</v>
      </c>
      <c r="BA67" s="6">
        <v>134234</v>
      </c>
      <c r="BB67" s="6">
        <v>91874</v>
      </c>
      <c r="BC67" s="6">
        <v>112953</v>
      </c>
      <c r="BD67" s="6">
        <v>102991</v>
      </c>
      <c r="BE67" s="6">
        <v>97460</v>
      </c>
      <c r="BF67" s="6">
        <v>92965</v>
      </c>
      <c r="BG67" s="6">
        <v>108550</v>
      </c>
      <c r="BH67" s="6">
        <v>102825</v>
      </c>
      <c r="BI67" s="6">
        <v>95881</v>
      </c>
      <c r="BJ67" s="6">
        <v>103128</v>
      </c>
      <c r="BK67" s="6">
        <v>100076</v>
      </c>
      <c r="BL67" s="6">
        <v>120453</v>
      </c>
    </row>
    <row r="68" spans="1:64" x14ac:dyDescent="0.25">
      <c r="A68" s="1">
        <v>80</v>
      </c>
      <c r="B68" s="3" t="s">
        <v>112</v>
      </c>
      <c r="C68" s="3" t="s">
        <v>113</v>
      </c>
      <c r="D68" s="3" t="s">
        <v>116</v>
      </c>
      <c r="E68" s="6">
        <v>140431</v>
      </c>
      <c r="F68" s="6">
        <v>88874</v>
      </c>
      <c r="G68" s="6">
        <v>99423</v>
      </c>
      <c r="H68" s="6">
        <v>115850</v>
      </c>
      <c r="I68" s="6">
        <v>79229</v>
      </c>
      <c r="J68" s="6">
        <v>109703</v>
      </c>
      <c r="K68" s="6">
        <v>120987</v>
      </c>
      <c r="L68" s="6">
        <v>109860</v>
      </c>
      <c r="M68" s="6">
        <v>99049</v>
      </c>
      <c r="N68" s="6">
        <v>108980</v>
      </c>
      <c r="O68" s="6">
        <v>102361</v>
      </c>
      <c r="P68" s="6">
        <v>123970</v>
      </c>
      <c r="Q68" s="6">
        <v>139876</v>
      </c>
      <c r="R68" s="6">
        <v>94551</v>
      </c>
      <c r="S68" s="6">
        <v>106755</v>
      </c>
      <c r="T68" s="6">
        <v>103405</v>
      </c>
      <c r="U68" s="6">
        <v>99583</v>
      </c>
      <c r="V68" s="6">
        <v>103528</v>
      </c>
      <c r="W68" s="6">
        <v>117053</v>
      </c>
      <c r="X68" s="6">
        <v>111602</v>
      </c>
      <c r="Y68" s="6">
        <v>108338</v>
      </c>
      <c r="Z68" s="6">
        <v>117345</v>
      </c>
      <c r="AA68" s="6">
        <v>111274</v>
      </c>
      <c r="AB68" s="6">
        <v>141561</v>
      </c>
      <c r="AC68" s="6">
        <v>161196</v>
      </c>
      <c r="AD68" s="6">
        <v>100913</v>
      </c>
      <c r="AE68" s="6">
        <v>115893</v>
      </c>
      <c r="AF68" s="6">
        <v>100227</v>
      </c>
      <c r="AG68" s="6">
        <v>93041</v>
      </c>
      <c r="AH68" s="6">
        <v>103249</v>
      </c>
      <c r="AI68" s="6">
        <v>100873</v>
      </c>
      <c r="AJ68" s="6">
        <v>101799</v>
      </c>
      <c r="AK68" s="6">
        <v>96511</v>
      </c>
      <c r="AL68" s="6">
        <v>104881</v>
      </c>
      <c r="AM68" s="6">
        <v>102179</v>
      </c>
      <c r="AN68" s="6">
        <v>131745</v>
      </c>
      <c r="AO68" s="6">
        <v>151759</v>
      </c>
      <c r="AP68" s="6">
        <v>88198</v>
      </c>
      <c r="AQ68" s="6">
        <v>94448</v>
      </c>
      <c r="AR68" s="6">
        <v>108062</v>
      </c>
      <c r="AS68" s="6">
        <v>91865</v>
      </c>
      <c r="AT68" s="6">
        <v>98481</v>
      </c>
      <c r="AU68" s="6">
        <v>98626</v>
      </c>
      <c r="AV68" s="6">
        <v>98091</v>
      </c>
      <c r="AW68" s="6">
        <v>93578</v>
      </c>
      <c r="AX68" s="6">
        <v>69662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</row>
    <row r="69" spans="1:64" x14ac:dyDescent="0.25">
      <c r="A69" s="8">
        <v>27</v>
      </c>
      <c r="B69" s="8" t="s">
        <v>41</v>
      </c>
      <c r="C69" s="8" t="s">
        <v>42</v>
      </c>
      <c r="D69" s="8" t="s">
        <v>44</v>
      </c>
      <c r="E69" s="6">
        <v>145581</v>
      </c>
      <c r="F69" s="6">
        <v>116892</v>
      </c>
      <c r="G69" s="6">
        <v>133252</v>
      </c>
      <c r="H69" s="6">
        <v>128381</v>
      </c>
      <c r="I69" s="6">
        <v>128976</v>
      </c>
      <c r="J69" s="6">
        <v>121552</v>
      </c>
      <c r="K69" s="6">
        <v>121674</v>
      </c>
      <c r="L69" s="6">
        <v>126053</v>
      </c>
      <c r="M69" s="6">
        <v>118296</v>
      </c>
      <c r="N69" s="6">
        <v>123562</v>
      </c>
      <c r="O69" s="6">
        <v>121365</v>
      </c>
      <c r="P69" s="6">
        <v>127341</v>
      </c>
      <c r="Q69" s="6">
        <v>138407</v>
      </c>
      <c r="R69" s="6">
        <v>103706</v>
      </c>
      <c r="S69" s="6">
        <v>110953</v>
      </c>
      <c r="T69" s="6">
        <v>109871</v>
      </c>
      <c r="U69" s="6">
        <v>106933</v>
      </c>
      <c r="V69" s="6">
        <v>26429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</row>
    <row r="70" spans="1:64" x14ac:dyDescent="0.25">
      <c r="A70" s="8">
        <v>131</v>
      </c>
      <c r="B70" s="8" t="s">
        <v>195</v>
      </c>
      <c r="C70" s="8" t="s">
        <v>196</v>
      </c>
      <c r="D70" s="8" t="s">
        <v>44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80513</v>
      </c>
      <c r="W70" s="6">
        <v>117074</v>
      </c>
      <c r="X70" s="6">
        <v>121922</v>
      </c>
      <c r="Y70" s="6">
        <v>117770</v>
      </c>
      <c r="Z70" s="6">
        <v>123785</v>
      </c>
      <c r="AA70" s="6">
        <v>111314</v>
      </c>
      <c r="AB70" s="6">
        <v>123206</v>
      </c>
      <c r="AC70" s="6">
        <v>122073</v>
      </c>
      <c r="AD70" s="6">
        <v>96967</v>
      </c>
      <c r="AE70" s="6">
        <v>101485</v>
      </c>
      <c r="AF70" s="6">
        <v>91502</v>
      </c>
      <c r="AG70" s="6">
        <v>92884</v>
      </c>
      <c r="AH70" s="6">
        <v>91569</v>
      </c>
      <c r="AI70" s="6">
        <v>94790</v>
      </c>
      <c r="AJ70" s="6">
        <v>95629</v>
      </c>
      <c r="AK70" s="6">
        <v>91219</v>
      </c>
      <c r="AL70" s="6">
        <v>96307</v>
      </c>
      <c r="AM70" s="6">
        <v>91693</v>
      </c>
      <c r="AN70" s="6">
        <v>104334</v>
      </c>
      <c r="AO70" s="6">
        <v>110453</v>
      </c>
      <c r="AP70" s="6">
        <v>82563</v>
      </c>
      <c r="AQ70" s="6">
        <v>92880</v>
      </c>
      <c r="AR70" s="6">
        <v>92284</v>
      </c>
      <c r="AS70" s="6">
        <v>89724</v>
      </c>
      <c r="AT70" s="6">
        <v>90498</v>
      </c>
      <c r="AU70" s="6">
        <v>91833</v>
      </c>
      <c r="AV70" s="6">
        <v>97349</v>
      </c>
      <c r="AW70" s="6">
        <v>86513</v>
      </c>
      <c r="AX70" s="6">
        <v>93214</v>
      </c>
      <c r="AY70" s="6">
        <v>94996</v>
      </c>
      <c r="AZ70" s="6">
        <v>109286</v>
      </c>
      <c r="BA70" s="6">
        <v>110693</v>
      </c>
      <c r="BB70" s="6">
        <v>87220</v>
      </c>
      <c r="BC70" s="6">
        <v>101601</v>
      </c>
      <c r="BD70" s="6">
        <v>94072</v>
      </c>
      <c r="BE70" s="6">
        <v>97645</v>
      </c>
      <c r="BF70" s="6">
        <v>95810</v>
      </c>
      <c r="BG70" s="6">
        <v>97044</v>
      </c>
      <c r="BH70" s="6">
        <v>97142</v>
      </c>
      <c r="BI70" s="6">
        <v>91356</v>
      </c>
      <c r="BJ70" s="6">
        <v>99182</v>
      </c>
      <c r="BK70" s="6">
        <v>99204</v>
      </c>
      <c r="BL70" s="6">
        <v>110471</v>
      </c>
    </row>
    <row r="71" spans="1:64" x14ac:dyDescent="0.25">
      <c r="A71" s="1">
        <v>87</v>
      </c>
      <c r="B71" s="3" t="s">
        <v>121</v>
      </c>
      <c r="C71" s="3" t="s">
        <v>122</v>
      </c>
      <c r="D71" s="3" t="s">
        <v>125</v>
      </c>
      <c r="E71" s="6">
        <v>195948</v>
      </c>
      <c r="F71" s="6">
        <v>123681</v>
      </c>
      <c r="G71" s="6">
        <v>128312</v>
      </c>
      <c r="H71" s="6">
        <v>153086</v>
      </c>
      <c r="I71" s="6">
        <v>129818</v>
      </c>
      <c r="J71" s="6">
        <v>142410</v>
      </c>
      <c r="K71" s="6">
        <v>148382</v>
      </c>
      <c r="L71" s="6">
        <v>134024</v>
      </c>
      <c r="M71" s="6">
        <v>127899</v>
      </c>
      <c r="N71" s="6">
        <v>143541</v>
      </c>
      <c r="O71" s="6">
        <v>133019</v>
      </c>
      <c r="P71" s="6">
        <v>160678</v>
      </c>
      <c r="Q71" s="6">
        <v>189513</v>
      </c>
      <c r="R71" s="6">
        <v>128110</v>
      </c>
      <c r="S71" s="6">
        <v>143148</v>
      </c>
      <c r="T71" s="6">
        <v>141791</v>
      </c>
      <c r="U71" s="6">
        <v>134883</v>
      </c>
      <c r="V71" s="6">
        <v>140756</v>
      </c>
      <c r="W71" s="6">
        <v>152614</v>
      </c>
      <c r="X71" s="6">
        <v>144198</v>
      </c>
      <c r="Y71" s="6">
        <v>137129</v>
      </c>
      <c r="Z71" s="6">
        <v>154825</v>
      </c>
      <c r="AA71" s="6">
        <v>146955</v>
      </c>
      <c r="AB71" s="6">
        <v>176781</v>
      </c>
      <c r="AC71" s="6">
        <v>211722</v>
      </c>
      <c r="AD71" s="6">
        <v>132343</v>
      </c>
      <c r="AE71" s="6">
        <v>155130</v>
      </c>
      <c r="AF71" s="6">
        <v>133243</v>
      </c>
      <c r="AG71" s="6">
        <v>129142</v>
      </c>
      <c r="AH71" s="6">
        <v>137178</v>
      </c>
      <c r="AI71" s="6">
        <v>130107</v>
      </c>
      <c r="AJ71" s="6">
        <v>143952</v>
      </c>
      <c r="AK71" s="6">
        <v>135997</v>
      </c>
      <c r="AL71" s="6">
        <v>150764</v>
      </c>
      <c r="AM71" s="6">
        <v>146362</v>
      </c>
      <c r="AN71" s="6">
        <v>175567</v>
      </c>
      <c r="AO71" s="6">
        <v>209067</v>
      </c>
      <c r="AP71" s="6">
        <v>129410</v>
      </c>
      <c r="AQ71" s="6">
        <v>145888</v>
      </c>
      <c r="AR71" s="6">
        <v>160366</v>
      </c>
      <c r="AS71" s="6">
        <v>148551</v>
      </c>
      <c r="AT71" s="6">
        <v>155728</v>
      </c>
      <c r="AU71" s="6">
        <v>145959</v>
      </c>
      <c r="AV71" s="6">
        <v>140596</v>
      </c>
      <c r="AW71" s="6">
        <v>137617</v>
      </c>
      <c r="AX71" s="6">
        <v>150350</v>
      </c>
      <c r="AY71" s="6">
        <v>142897</v>
      </c>
      <c r="AZ71" s="6">
        <v>179712</v>
      </c>
      <c r="BA71" s="6">
        <v>215439</v>
      </c>
      <c r="BB71" s="6">
        <v>131095</v>
      </c>
      <c r="BC71" s="6">
        <v>161002</v>
      </c>
      <c r="BD71" s="6">
        <v>151813</v>
      </c>
      <c r="BE71" s="6">
        <v>150669</v>
      </c>
      <c r="BF71" s="6">
        <v>164078</v>
      </c>
      <c r="BG71" s="6">
        <v>164480</v>
      </c>
      <c r="BH71" s="6">
        <v>154629</v>
      </c>
      <c r="BI71" s="6">
        <v>147618</v>
      </c>
      <c r="BJ71" s="6">
        <v>160476</v>
      </c>
      <c r="BK71" s="6">
        <v>153004</v>
      </c>
      <c r="BL71" s="6">
        <v>190995</v>
      </c>
    </row>
    <row r="72" spans="1:64" s="10" customFormat="1" x14ac:dyDescent="0.25">
      <c r="A72" s="1">
        <v>48</v>
      </c>
      <c r="B72" s="3" t="s">
        <v>70</v>
      </c>
      <c r="C72" s="3" t="s">
        <v>71</v>
      </c>
      <c r="D72" s="3" t="s">
        <v>73</v>
      </c>
      <c r="E72" s="6">
        <v>456669</v>
      </c>
      <c r="F72" s="6">
        <v>409414</v>
      </c>
      <c r="G72" s="6">
        <v>436006</v>
      </c>
      <c r="H72" s="6">
        <v>417534</v>
      </c>
      <c r="I72" s="6">
        <v>438178</v>
      </c>
      <c r="J72" s="6">
        <v>402241</v>
      </c>
      <c r="K72" s="6">
        <v>441618</v>
      </c>
      <c r="L72" s="6">
        <v>440692</v>
      </c>
      <c r="M72" s="6">
        <v>428025</v>
      </c>
      <c r="N72" s="6">
        <v>435110</v>
      </c>
      <c r="O72" s="6">
        <v>407642</v>
      </c>
      <c r="P72" s="6">
        <v>444083</v>
      </c>
      <c r="Q72" s="6">
        <v>390908</v>
      </c>
      <c r="R72" s="6">
        <v>382347</v>
      </c>
      <c r="S72" s="6">
        <v>429535</v>
      </c>
      <c r="T72" s="6">
        <v>398205</v>
      </c>
      <c r="U72" s="6">
        <v>426610</v>
      </c>
      <c r="V72" s="6">
        <v>399516</v>
      </c>
      <c r="W72" s="6">
        <v>440657</v>
      </c>
      <c r="X72" s="6">
        <v>408166</v>
      </c>
      <c r="Y72" s="6">
        <v>364297</v>
      </c>
      <c r="Z72" s="6">
        <v>371015</v>
      </c>
      <c r="AA72" s="6">
        <v>357246</v>
      </c>
      <c r="AB72" s="6">
        <v>395896</v>
      </c>
      <c r="AC72" s="6">
        <v>332881</v>
      </c>
      <c r="AD72" s="6">
        <v>343622</v>
      </c>
      <c r="AE72" s="6">
        <v>355894</v>
      </c>
      <c r="AF72" s="6">
        <v>366972</v>
      </c>
      <c r="AG72" s="6">
        <v>374540</v>
      </c>
      <c r="AH72" s="6">
        <v>352280</v>
      </c>
      <c r="AI72" s="6">
        <v>381386</v>
      </c>
      <c r="AJ72" s="6">
        <v>418040</v>
      </c>
      <c r="AK72" s="6">
        <v>457070</v>
      </c>
      <c r="AL72" s="6">
        <v>453551</v>
      </c>
      <c r="AM72" s="6">
        <v>431108</v>
      </c>
      <c r="AN72" s="6">
        <v>462565</v>
      </c>
      <c r="AO72" s="6">
        <v>408867</v>
      </c>
      <c r="AP72" s="6">
        <v>408532</v>
      </c>
      <c r="AQ72" s="6">
        <v>458477</v>
      </c>
      <c r="AR72" s="6">
        <v>410362</v>
      </c>
      <c r="AS72" s="6">
        <v>433473</v>
      </c>
      <c r="AT72" s="6">
        <v>420301</v>
      </c>
      <c r="AU72" s="6">
        <v>447681</v>
      </c>
      <c r="AV72" s="6">
        <v>472724</v>
      </c>
      <c r="AW72" s="6">
        <v>468029</v>
      </c>
      <c r="AX72" s="6">
        <v>461931</v>
      </c>
      <c r="AY72" s="6">
        <v>469421</v>
      </c>
      <c r="AZ72" s="6">
        <v>530389</v>
      </c>
      <c r="BA72" s="6">
        <v>454683</v>
      </c>
      <c r="BB72" s="6">
        <v>454425</v>
      </c>
      <c r="BC72" s="6">
        <v>487234</v>
      </c>
      <c r="BD72" s="6">
        <v>498338</v>
      </c>
      <c r="BE72" s="6">
        <v>511312</v>
      </c>
      <c r="BF72" s="6">
        <v>486228</v>
      </c>
      <c r="BG72" s="6">
        <v>515520</v>
      </c>
      <c r="BH72" s="6">
        <v>534735</v>
      </c>
      <c r="BI72" s="6">
        <v>544885</v>
      </c>
      <c r="BJ72" s="6">
        <v>552355</v>
      </c>
      <c r="BK72" s="6">
        <v>541036</v>
      </c>
      <c r="BL72" s="6">
        <v>611385</v>
      </c>
    </row>
    <row r="73" spans="1:64" s="10" customFormat="1" x14ac:dyDescent="0.25">
      <c r="A73" s="1">
        <v>97</v>
      </c>
      <c r="B73" s="3" t="s">
        <v>143</v>
      </c>
      <c r="C73" s="3" t="s">
        <v>144</v>
      </c>
      <c r="D73" s="3" t="s">
        <v>145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17317</v>
      </c>
      <c r="P73" s="6">
        <v>22638</v>
      </c>
      <c r="Q73" s="6">
        <v>25564</v>
      </c>
      <c r="R73" s="6">
        <v>15952</v>
      </c>
      <c r="S73" s="6">
        <v>21701</v>
      </c>
      <c r="T73" s="6">
        <v>20671</v>
      </c>
      <c r="U73" s="6">
        <v>23598</v>
      </c>
      <c r="V73" s="6">
        <v>20110</v>
      </c>
      <c r="W73" s="6">
        <v>19640</v>
      </c>
      <c r="X73" s="6">
        <v>20717</v>
      </c>
      <c r="Y73" s="6">
        <v>18108</v>
      </c>
      <c r="Z73" s="6">
        <v>22311</v>
      </c>
      <c r="AA73" s="6">
        <v>21731</v>
      </c>
      <c r="AB73" s="6">
        <v>27822</v>
      </c>
      <c r="AC73" s="6">
        <v>29014</v>
      </c>
      <c r="AD73" s="6">
        <v>22854</v>
      </c>
      <c r="AE73" s="6">
        <v>35457</v>
      </c>
      <c r="AF73" s="6">
        <v>32762</v>
      </c>
      <c r="AG73" s="6">
        <v>31673</v>
      </c>
      <c r="AH73" s="6">
        <v>37547</v>
      </c>
      <c r="AI73" s="6">
        <v>41692</v>
      </c>
      <c r="AJ73" s="6">
        <v>61968</v>
      </c>
      <c r="AK73" s="6">
        <v>49057</v>
      </c>
      <c r="AL73" s="6">
        <v>49555</v>
      </c>
      <c r="AM73" s="6">
        <v>29848</v>
      </c>
      <c r="AN73" s="6">
        <v>30365</v>
      </c>
      <c r="AO73" s="6">
        <v>39817</v>
      </c>
      <c r="AP73" s="6">
        <v>52119</v>
      </c>
      <c r="AQ73" s="6">
        <v>36327</v>
      </c>
      <c r="AR73" s="6">
        <v>36043</v>
      </c>
      <c r="AS73" s="6">
        <v>32452</v>
      </c>
      <c r="AT73" s="6">
        <v>36229</v>
      </c>
      <c r="AU73" s="6">
        <v>33597</v>
      </c>
      <c r="AV73" s="6">
        <v>33522</v>
      </c>
      <c r="AW73" s="6">
        <v>31612</v>
      </c>
      <c r="AX73" s="6">
        <v>33708</v>
      </c>
      <c r="AY73" s="6">
        <v>31338</v>
      </c>
      <c r="AZ73" s="6">
        <v>37078</v>
      </c>
      <c r="BA73" s="6">
        <v>39843</v>
      </c>
      <c r="BB73" s="6">
        <v>29903</v>
      </c>
      <c r="BC73" s="6">
        <v>36662</v>
      </c>
      <c r="BD73" s="6">
        <v>34652</v>
      </c>
      <c r="BE73" s="6">
        <v>52407</v>
      </c>
      <c r="BF73" s="6">
        <v>44221</v>
      </c>
      <c r="BG73" s="6">
        <v>42558</v>
      </c>
      <c r="BH73" s="6">
        <v>47553</v>
      </c>
      <c r="BI73" s="6">
        <v>55171</v>
      </c>
      <c r="BJ73" s="6">
        <v>37926</v>
      </c>
      <c r="BK73" s="6">
        <v>39985</v>
      </c>
      <c r="BL73" s="6">
        <v>42729</v>
      </c>
    </row>
    <row r="74" spans="1:64" x14ac:dyDescent="0.25">
      <c r="A74" s="1">
        <v>58</v>
      </c>
      <c r="B74" s="3" t="s">
        <v>84</v>
      </c>
      <c r="C74" s="3" t="s">
        <v>85</v>
      </c>
      <c r="D74" s="3" t="s">
        <v>87</v>
      </c>
      <c r="E74" s="6">
        <v>329068</v>
      </c>
      <c r="F74" s="6">
        <v>284113</v>
      </c>
      <c r="G74" s="6">
        <v>302508</v>
      </c>
      <c r="H74" s="6">
        <v>308260</v>
      </c>
      <c r="I74" s="6">
        <v>307489</v>
      </c>
      <c r="J74" s="6">
        <v>291959</v>
      </c>
      <c r="K74" s="6">
        <v>316996</v>
      </c>
      <c r="L74" s="6">
        <v>308293</v>
      </c>
      <c r="M74" s="6">
        <v>306935</v>
      </c>
      <c r="N74" s="6">
        <v>314954</v>
      </c>
      <c r="O74" s="6">
        <v>300194</v>
      </c>
      <c r="P74" s="6">
        <v>343311</v>
      </c>
      <c r="Q74" s="6">
        <v>325950</v>
      </c>
      <c r="R74" s="6">
        <v>272496</v>
      </c>
      <c r="S74" s="6">
        <v>304510</v>
      </c>
      <c r="T74" s="6">
        <v>300642</v>
      </c>
      <c r="U74" s="6">
        <v>301183</v>
      </c>
      <c r="V74" s="6">
        <v>304893</v>
      </c>
      <c r="W74" s="6">
        <v>322888</v>
      </c>
      <c r="X74" s="6">
        <v>314011</v>
      </c>
      <c r="Y74" s="6">
        <v>310681</v>
      </c>
      <c r="Z74" s="6">
        <v>326952</v>
      </c>
      <c r="AA74" s="6">
        <v>311328</v>
      </c>
      <c r="AB74" s="6">
        <v>359211</v>
      </c>
      <c r="AC74" s="6">
        <v>338197</v>
      </c>
      <c r="AD74" s="6">
        <v>293907</v>
      </c>
      <c r="AE74" s="6">
        <v>322998</v>
      </c>
      <c r="AF74" s="6">
        <v>297445</v>
      </c>
      <c r="AG74" s="6">
        <v>307021</v>
      </c>
      <c r="AH74" s="6">
        <v>303632</v>
      </c>
      <c r="AI74" s="6">
        <v>311663</v>
      </c>
      <c r="AJ74" s="6">
        <v>314944</v>
      </c>
      <c r="AK74" s="6">
        <v>310695</v>
      </c>
      <c r="AL74" s="6">
        <v>319818</v>
      </c>
      <c r="AM74" s="6">
        <v>314431</v>
      </c>
      <c r="AN74" s="6">
        <v>361104</v>
      </c>
      <c r="AO74" s="6">
        <v>333838</v>
      </c>
      <c r="AP74" s="6">
        <v>275860</v>
      </c>
      <c r="AQ74" s="6">
        <v>305780</v>
      </c>
      <c r="AR74" s="6">
        <v>301471</v>
      </c>
      <c r="AS74" s="6">
        <v>300136</v>
      </c>
      <c r="AT74" s="6">
        <v>299089</v>
      </c>
      <c r="AU74" s="6">
        <v>312187</v>
      </c>
      <c r="AV74" s="6">
        <v>308815</v>
      </c>
      <c r="AW74" s="6">
        <v>304357</v>
      </c>
      <c r="AX74" s="6">
        <v>312779</v>
      </c>
      <c r="AY74" s="6">
        <v>310982</v>
      </c>
      <c r="AZ74" s="6">
        <v>359539</v>
      </c>
      <c r="BA74" s="6">
        <v>333117</v>
      </c>
      <c r="BB74" s="6">
        <v>272515</v>
      </c>
      <c r="BC74" s="6">
        <v>310113</v>
      </c>
      <c r="BD74" s="6">
        <v>297108</v>
      </c>
      <c r="BE74" s="6">
        <v>295749</v>
      </c>
      <c r="BF74" s="6">
        <v>287894</v>
      </c>
      <c r="BG74" s="6">
        <v>308496</v>
      </c>
      <c r="BH74" s="6">
        <v>306438</v>
      </c>
      <c r="BI74" s="6">
        <v>299307</v>
      </c>
      <c r="BJ74" s="6">
        <v>314521</v>
      </c>
      <c r="BK74" s="6">
        <v>302765</v>
      </c>
      <c r="BL74" s="6">
        <v>349194</v>
      </c>
    </row>
    <row r="75" spans="1:64" x14ac:dyDescent="0.25">
      <c r="A75" s="1">
        <v>22</v>
      </c>
      <c r="B75" s="3" t="s">
        <v>31</v>
      </c>
      <c r="C75" s="3" t="s">
        <v>32</v>
      </c>
      <c r="D75" s="3" t="s">
        <v>35</v>
      </c>
      <c r="E75" s="6">
        <v>224152</v>
      </c>
      <c r="F75" s="6">
        <v>207657</v>
      </c>
      <c r="G75" s="6">
        <v>234966</v>
      </c>
      <c r="H75" s="6">
        <v>223926</v>
      </c>
      <c r="I75" s="6">
        <v>231158</v>
      </c>
      <c r="J75" s="6">
        <v>229897</v>
      </c>
      <c r="K75" s="6">
        <v>231250</v>
      </c>
      <c r="L75" s="6">
        <v>255864</v>
      </c>
      <c r="M75" s="6">
        <v>232708</v>
      </c>
      <c r="N75" s="6">
        <v>241738</v>
      </c>
      <c r="O75" s="6">
        <v>246424</v>
      </c>
      <c r="P75" s="6">
        <v>282699</v>
      </c>
      <c r="Q75" s="6">
        <v>254261</v>
      </c>
      <c r="R75" s="6">
        <v>234757</v>
      </c>
      <c r="S75" s="6">
        <v>266074</v>
      </c>
      <c r="T75" s="6">
        <v>247164</v>
      </c>
      <c r="U75" s="6">
        <v>271856</v>
      </c>
      <c r="V75" s="6">
        <v>261998</v>
      </c>
      <c r="W75" s="6">
        <v>270228</v>
      </c>
      <c r="X75" s="6">
        <v>282670</v>
      </c>
      <c r="Y75" s="6">
        <v>262361</v>
      </c>
      <c r="Z75" s="6">
        <v>263503</v>
      </c>
      <c r="AA75" s="6">
        <v>270570</v>
      </c>
      <c r="AB75" s="6">
        <v>310445</v>
      </c>
      <c r="AC75" s="6">
        <v>276928</v>
      </c>
      <c r="AD75" s="6">
        <v>262642</v>
      </c>
      <c r="AE75" s="6">
        <v>282694</v>
      </c>
      <c r="AF75" s="6">
        <v>265708</v>
      </c>
      <c r="AG75" s="6">
        <v>286889</v>
      </c>
      <c r="AH75" s="6">
        <v>277802</v>
      </c>
      <c r="AI75" s="6">
        <v>293479</v>
      </c>
      <c r="AJ75" s="6">
        <v>292965</v>
      </c>
      <c r="AK75" s="6">
        <v>281103</v>
      </c>
      <c r="AL75" s="6">
        <v>298662</v>
      </c>
      <c r="AM75" s="6">
        <v>300545</v>
      </c>
      <c r="AN75" s="6">
        <v>338457</v>
      </c>
      <c r="AO75" s="6">
        <v>340993</v>
      </c>
      <c r="AP75" s="6">
        <v>272813</v>
      </c>
      <c r="AQ75" s="6">
        <v>292050</v>
      </c>
      <c r="AR75" s="6">
        <v>287603</v>
      </c>
      <c r="AS75" s="6">
        <v>297370</v>
      </c>
      <c r="AT75" s="6">
        <v>290885</v>
      </c>
      <c r="AU75" s="6">
        <v>304808</v>
      </c>
      <c r="AV75" s="6">
        <v>305414</v>
      </c>
      <c r="AW75" s="6">
        <v>284640</v>
      </c>
      <c r="AX75" s="6">
        <v>297134</v>
      </c>
      <c r="AY75" s="6">
        <v>299385</v>
      </c>
      <c r="AZ75" s="6">
        <v>335531</v>
      </c>
      <c r="BA75" s="6">
        <v>297229</v>
      </c>
      <c r="BB75" s="6">
        <v>277374</v>
      </c>
      <c r="BC75" s="6">
        <v>310213</v>
      </c>
      <c r="BD75" s="6">
        <v>302718</v>
      </c>
      <c r="BE75" s="6">
        <v>309656</v>
      </c>
      <c r="BF75" s="6">
        <v>308317</v>
      </c>
      <c r="BG75" s="6">
        <v>320236</v>
      </c>
      <c r="BH75" s="6">
        <v>335476</v>
      </c>
      <c r="BI75" s="6">
        <v>320596</v>
      </c>
      <c r="BJ75" s="6">
        <v>316377</v>
      </c>
      <c r="BK75" s="6">
        <v>323582</v>
      </c>
      <c r="BL75" s="6">
        <v>354137</v>
      </c>
    </row>
    <row r="76" spans="1:64" x14ac:dyDescent="0.25">
      <c r="A76" s="1">
        <v>93</v>
      </c>
      <c r="B76" s="3" t="s">
        <v>133</v>
      </c>
      <c r="C76" s="3" t="s">
        <v>134</v>
      </c>
      <c r="D76" s="3" t="s">
        <v>135</v>
      </c>
      <c r="E76" s="6">
        <v>232741</v>
      </c>
      <c r="F76" s="6">
        <v>207422</v>
      </c>
      <c r="G76" s="6">
        <v>232835</v>
      </c>
      <c r="H76" s="6">
        <v>226675</v>
      </c>
      <c r="I76" s="6">
        <v>235150</v>
      </c>
      <c r="J76" s="6">
        <v>236073</v>
      </c>
      <c r="K76" s="6">
        <v>242921</v>
      </c>
      <c r="L76" s="6">
        <v>242988</v>
      </c>
      <c r="M76" s="6">
        <v>245395</v>
      </c>
      <c r="N76" s="6">
        <v>253630</v>
      </c>
      <c r="O76" s="6">
        <v>231783</v>
      </c>
      <c r="P76" s="6">
        <v>263385</v>
      </c>
      <c r="Q76" s="6">
        <v>250221</v>
      </c>
      <c r="R76" s="6">
        <v>215457</v>
      </c>
      <c r="S76" s="6">
        <v>242272</v>
      </c>
      <c r="T76" s="6">
        <v>234984</v>
      </c>
      <c r="U76" s="6">
        <v>249579</v>
      </c>
      <c r="V76" s="6">
        <v>244125</v>
      </c>
      <c r="W76" s="6">
        <v>256340</v>
      </c>
      <c r="X76" s="6">
        <v>251014</v>
      </c>
      <c r="Y76" s="6">
        <v>239764</v>
      </c>
      <c r="Z76" s="6">
        <v>250020</v>
      </c>
      <c r="AA76" s="6">
        <v>241130</v>
      </c>
      <c r="AB76" s="6">
        <v>262669</v>
      </c>
      <c r="AC76" s="6">
        <v>248170</v>
      </c>
      <c r="AD76" s="6">
        <v>223071</v>
      </c>
      <c r="AE76" s="6">
        <v>238804</v>
      </c>
      <c r="AF76" s="6">
        <v>135135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</row>
    <row r="77" spans="1:64" x14ac:dyDescent="0.25">
      <c r="A77" s="8">
        <v>139</v>
      </c>
      <c r="B77" s="8" t="s">
        <v>203</v>
      </c>
      <c r="C77" s="8" t="s">
        <v>204</v>
      </c>
      <c r="D77" s="8" t="s">
        <v>162</v>
      </c>
      <c r="E77" s="6">
        <v>151177</v>
      </c>
      <c r="F77" s="6">
        <v>136485</v>
      </c>
      <c r="G77" s="6">
        <v>146008</v>
      </c>
      <c r="H77" s="6">
        <v>152327</v>
      </c>
      <c r="I77" s="6">
        <v>160136</v>
      </c>
      <c r="J77" s="6">
        <v>145704</v>
      </c>
      <c r="K77" s="6">
        <v>164176</v>
      </c>
      <c r="L77" s="6">
        <v>156304</v>
      </c>
      <c r="M77" s="6">
        <v>150290</v>
      </c>
      <c r="N77" s="6">
        <v>154635</v>
      </c>
      <c r="O77" s="6">
        <v>150942</v>
      </c>
      <c r="P77" s="6">
        <v>151291</v>
      </c>
      <c r="Q77" s="6">
        <v>166478</v>
      </c>
      <c r="R77" s="6">
        <v>144982</v>
      </c>
      <c r="S77" s="6">
        <v>144505</v>
      </c>
      <c r="T77" s="6">
        <v>159543</v>
      </c>
      <c r="U77" s="6">
        <v>158588</v>
      </c>
      <c r="V77" s="6">
        <v>149722</v>
      </c>
      <c r="W77" s="6">
        <v>158109</v>
      </c>
      <c r="X77" s="6">
        <v>158518</v>
      </c>
      <c r="Y77" s="6">
        <v>160976</v>
      </c>
      <c r="Z77" s="6">
        <v>172833</v>
      </c>
      <c r="AA77" s="6">
        <v>153615</v>
      </c>
      <c r="AB77" s="6">
        <v>159834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114614</v>
      </c>
      <c r="AM77" s="6">
        <v>159694</v>
      </c>
      <c r="AN77" s="6">
        <v>162914</v>
      </c>
      <c r="AO77" s="6">
        <v>139524</v>
      </c>
      <c r="AP77" s="6">
        <v>147541</v>
      </c>
      <c r="AQ77" s="6">
        <v>141443</v>
      </c>
      <c r="AR77" s="6">
        <v>158453</v>
      </c>
      <c r="AS77" s="6">
        <v>91961</v>
      </c>
      <c r="AT77" s="6">
        <v>171890</v>
      </c>
      <c r="AU77" s="6">
        <v>172519</v>
      </c>
      <c r="AV77" s="6">
        <v>165988</v>
      </c>
      <c r="AW77" s="6">
        <v>158797</v>
      </c>
      <c r="AX77" s="6">
        <v>159868</v>
      </c>
      <c r="AY77" s="6">
        <v>153408</v>
      </c>
      <c r="AZ77" s="6">
        <v>160818</v>
      </c>
      <c r="BA77" s="6">
        <v>168777</v>
      </c>
      <c r="BB77" s="6">
        <v>141513</v>
      </c>
      <c r="BC77" s="6">
        <v>160978</v>
      </c>
      <c r="BD77" s="6">
        <v>152073</v>
      </c>
      <c r="BE77" s="6">
        <v>160946</v>
      </c>
      <c r="BF77" s="6">
        <v>165199</v>
      </c>
      <c r="BG77" s="6">
        <v>176492</v>
      </c>
      <c r="BH77" s="6">
        <v>190031</v>
      </c>
      <c r="BI77" s="6">
        <v>173616</v>
      </c>
      <c r="BJ77" s="6">
        <v>178367</v>
      </c>
      <c r="BK77" s="6">
        <v>166294</v>
      </c>
      <c r="BL77" s="6">
        <v>176831</v>
      </c>
    </row>
    <row r="78" spans="1:64" x14ac:dyDescent="0.25">
      <c r="A78" s="8">
        <v>104</v>
      </c>
      <c r="B78" s="8" t="s">
        <v>160</v>
      </c>
      <c r="C78" s="8" t="s">
        <v>161</v>
      </c>
      <c r="D78" s="8" t="s">
        <v>162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114614</v>
      </c>
      <c r="AM78" s="6">
        <v>159694</v>
      </c>
      <c r="AN78" s="6">
        <v>162914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</row>
    <row r="79" spans="1:64" x14ac:dyDescent="0.25">
      <c r="A79" s="1">
        <v>49</v>
      </c>
      <c r="B79" s="3" t="s">
        <v>70</v>
      </c>
      <c r="C79" s="3" t="s">
        <v>71</v>
      </c>
      <c r="D79" s="3" t="s">
        <v>74</v>
      </c>
      <c r="E79" s="6">
        <v>198603</v>
      </c>
      <c r="F79" s="6">
        <v>152345</v>
      </c>
      <c r="G79" s="6">
        <v>168394</v>
      </c>
      <c r="H79" s="6">
        <v>181611</v>
      </c>
      <c r="I79" s="6">
        <v>159636</v>
      </c>
      <c r="J79" s="6">
        <v>168571</v>
      </c>
      <c r="K79" s="6">
        <v>166557</v>
      </c>
      <c r="L79" s="6">
        <v>178224</v>
      </c>
      <c r="M79" s="6">
        <v>158114</v>
      </c>
      <c r="N79" s="6">
        <v>173525</v>
      </c>
      <c r="O79" s="6">
        <v>160465</v>
      </c>
      <c r="P79" s="6">
        <v>175325</v>
      </c>
      <c r="Q79" s="6">
        <v>185054</v>
      </c>
      <c r="R79" s="6">
        <v>144541</v>
      </c>
      <c r="S79" s="6">
        <v>164723</v>
      </c>
      <c r="T79" s="6">
        <v>170633</v>
      </c>
      <c r="U79" s="6">
        <v>176421</v>
      </c>
      <c r="V79" s="6">
        <v>171435</v>
      </c>
      <c r="W79" s="6">
        <v>169359</v>
      </c>
      <c r="X79" s="6">
        <v>169520</v>
      </c>
      <c r="Y79" s="6">
        <v>148883</v>
      </c>
      <c r="Z79" s="6">
        <v>167847</v>
      </c>
      <c r="AA79" s="6">
        <v>161037</v>
      </c>
      <c r="AB79" s="6">
        <v>185796</v>
      </c>
      <c r="AC79" s="6">
        <v>190052</v>
      </c>
      <c r="AD79" s="6">
        <v>148877</v>
      </c>
      <c r="AE79" s="6">
        <v>183403</v>
      </c>
      <c r="AF79" s="6">
        <v>151553</v>
      </c>
      <c r="AG79" s="6">
        <v>172970</v>
      </c>
      <c r="AH79" s="6">
        <v>164165</v>
      </c>
      <c r="AI79" s="6">
        <v>174848</v>
      </c>
      <c r="AJ79" s="6">
        <v>181082</v>
      </c>
      <c r="AK79" s="6">
        <v>160725</v>
      </c>
      <c r="AL79" s="6">
        <v>177569</v>
      </c>
      <c r="AM79" s="6">
        <v>164662</v>
      </c>
      <c r="AN79" s="6">
        <v>187561</v>
      </c>
      <c r="AO79" s="6">
        <v>192939</v>
      </c>
      <c r="AP79" s="6">
        <v>150722</v>
      </c>
      <c r="AQ79" s="6">
        <v>164719</v>
      </c>
      <c r="AR79" s="6">
        <v>184732</v>
      </c>
      <c r="AS79" s="6">
        <v>172340</v>
      </c>
      <c r="AT79" s="6">
        <v>177325</v>
      </c>
      <c r="AU79" s="6">
        <v>185930</v>
      </c>
      <c r="AV79" s="6">
        <v>183988</v>
      </c>
      <c r="AW79" s="6">
        <v>166387</v>
      </c>
      <c r="AX79" s="6">
        <v>184860</v>
      </c>
      <c r="AY79" s="6">
        <v>176925</v>
      </c>
      <c r="AZ79" s="6">
        <v>197980</v>
      </c>
      <c r="BA79" s="6">
        <v>207255</v>
      </c>
      <c r="BB79" s="6">
        <v>152652</v>
      </c>
      <c r="BC79" s="6">
        <v>198849</v>
      </c>
      <c r="BD79" s="6">
        <v>173194</v>
      </c>
      <c r="BE79" s="6">
        <v>175876</v>
      </c>
      <c r="BF79" s="6">
        <v>186892</v>
      </c>
      <c r="BG79" s="6">
        <v>203968</v>
      </c>
      <c r="BH79" s="6">
        <v>206199</v>
      </c>
      <c r="BI79" s="6">
        <v>186508</v>
      </c>
      <c r="BJ79" s="6">
        <v>187477</v>
      </c>
      <c r="BK79" s="6">
        <v>182471</v>
      </c>
      <c r="BL79" s="6">
        <v>216634</v>
      </c>
    </row>
    <row r="80" spans="1:64" s="10" customFormat="1" x14ac:dyDescent="0.25">
      <c r="A80" s="1">
        <v>147</v>
      </c>
      <c r="B80" s="3" t="s">
        <v>218</v>
      </c>
      <c r="C80" s="3" t="s">
        <v>219</v>
      </c>
      <c r="D80" s="3" t="s">
        <v>221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42095</v>
      </c>
      <c r="Z80" s="6">
        <v>169322</v>
      </c>
      <c r="AA80" s="6">
        <v>163864</v>
      </c>
      <c r="AB80" s="6">
        <v>193278</v>
      </c>
      <c r="AC80" s="6">
        <v>178548</v>
      </c>
      <c r="AD80" s="6">
        <v>142711</v>
      </c>
      <c r="AE80" s="6">
        <v>163229</v>
      </c>
      <c r="AF80" s="6">
        <v>148280</v>
      </c>
      <c r="AG80" s="6">
        <v>158264</v>
      </c>
      <c r="AH80" s="6">
        <v>155178</v>
      </c>
      <c r="AI80" s="6">
        <v>160506</v>
      </c>
      <c r="AJ80" s="6">
        <v>164369</v>
      </c>
      <c r="AK80" s="6">
        <v>157680</v>
      </c>
      <c r="AL80" s="6">
        <v>169879</v>
      </c>
      <c r="AM80" s="6">
        <v>165432</v>
      </c>
      <c r="AN80" s="6">
        <v>190735</v>
      </c>
      <c r="AO80" s="6">
        <v>172264</v>
      </c>
      <c r="AP80" s="6">
        <v>127913</v>
      </c>
      <c r="AQ80" s="6">
        <v>152734</v>
      </c>
      <c r="AR80" s="6">
        <v>158871</v>
      </c>
      <c r="AS80" s="6">
        <v>151274</v>
      </c>
      <c r="AT80" s="6">
        <v>159452</v>
      </c>
      <c r="AU80" s="6">
        <v>166074</v>
      </c>
      <c r="AV80" s="6">
        <v>161710</v>
      </c>
      <c r="AW80" s="6">
        <v>152495</v>
      </c>
      <c r="AX80" s="6">
        <v>159755</v>
      </c>
      <c r="AY80" s="6">
        <v>156532</v>
      </c>
      <c r="AZ80" s="6">
        <v>187954</v>
      </c>
      <c r="BA80" s="6">
        <v>175755</v>
      </c>
      <c r="BB80" s="6">
        <v>134753</v>
      </c>
      <c r="BC80" s="6">
        <v>159997</v>
      </c>
      <c r="BD80" s="6">
        <v>143921</v>
      </c>
      <c r="BE80" s="6">
        <v>144695</v>
      </c>
      <c r="BF80" s="6">
        <v>150635</v>
      </c>
      <c r="BG80" s="6">
        <v>157955</v>
      </c>
      <c r="BH80" s="6">
        <v>155363</v>
      </c>
      <c r="BI80" s="6">
        <v>146853</v>
      </c>
      <c r="BJ80" s="6">
        <v>160183</v>
      </c>
      <c r="BK80" s="6">
        <v>155233</v>
      </c>
      <c r="BL80" s="6">
        <v>183518</v>
      </c>
    </row>
    <row r="81" spans="1:64" s="10" customFormat="1" x14ac:dyDescent="0.25">
      <c r="A81" s="8">
        <v>116</v>
      </c>
      <c r="B81" s="8" t="s">
        <v>177</v>
      </c>
      <c r="C81" s="8" t="s">
        <v>178</v>
      </c>
      <c r="D81" s="8" t="s">
        <v>241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16003</v>
      </c>
      <c r="AW81" s="6">
        <v>52665</v>
      </c>
      <c r="AX81" s="6">
        <v>54247</v>
      </c>
      <c r="AY81" s="6">
        <v>53090</v>
      </c>
      <c r="AZ81" s="6">
        <v>63313</v>
      </c>
      <c r="BA81" s="6">
        <v>61109</v>
      </c>
      <c r="BB81" s="6">
        <v>47349</v>
      </c>
      <c r="BC81" s="6">
        <v>58944</v>
      </c>
      <c r="BD81" s="6">
        <v>51514</v>
      </c>
      <c r="BE81" s="6">
        <v>58799</v>
      </c>
      <c r="BF81" s="6">
        <v>67981</v>
      </c>
      <c r="BG81" s="6">
        <v>59113</v>
      </c>
      <c r="BH81" s="6">
        <v>55198</v>
      </c>
      <c r="BI81" s="6">
        <v>54243</v>
      </c>
      <c r="BJ81" s="6">
        <v>57076</v>
      </c>
      <c r="BK81" s="6">
        <v>53727</v>
      </c>
      <c r="BL81" s="6">
        <v>64190</v>
      </c>
    </row>
    <row r="82" spans="1:64" x14ac:dyDescent="0.25">
      <c r="A82" s="8">
        <v>91</v>
      </c>
      <c r="B82" s="8" t="s">
        <v>129</v>
      </c>
      <c r="C82" s="8" t="s">
        <v>130</v>
      </c>
      <c r="D82" s="8" t="s">
        <v>241</v>
      </c>
      <c r="E82" s="6">
        <v>59667</v>
      </c>
      <c r="F82" s="6">
        <v>48077</v>
      </c>
      <c r="G82" s="6">
        <v>54588</v>
      </c>
      <c r="H82" s="6">
        <v>55994</v>
      </c>
      <c r="I82" s="6">
        <v>53382</v>
      </c>
      <c r="J82" s="6">
        <v>54079</v>
      </c>
      <c r="K82" s="6">
        <v>57472</v>
      </c>
      <c r="L82" s="6">
        <v>55312</v>
      </c>
      <c r="M82" s="6">
        <v>54537</v>
      </c>
      <c r="N82" s="6">
        <v>58253</v>
      </c>
      <c r="O82" s="6">
        <v>57614</v>
      </c>
      <c r="P82" s="6">
        <v>64966</v>
      </c>
      <c r="Q82" s="6">
        <v>66592</v>
      </c>
      <c r="R82" s="6">
        <v>55580</v>
      </c>
      <c r="S82" s="6">
        <v>63537</v>
      </c>
      <c r="T82" s="6">
        <v>61276</v>
      </c>
      <c r="U82" s="6">
        <v>59557</v>
      </c>
      <c r="V82" s="6">
        <v>61399</v>
      </c>
      <c r="W82" s="6">
        <v>63552</v>
      </c>
      <c r="X82" s="6">
        <v>63414</v>
      </c>
      <c r="Y82" s="6">
        <v>63536</v>
      </c>
      <c r="Z82" s="6">
        <v>69928</v>
      </c>
      <c r="AA82" s="6">
        <v>65396</v>
      </c>
      <c r="AB82" s="6">
        <v>75729</v>
      </c>
      <c r="AC82" s="6">
        <v>75446</v>
      </c>
      <c r="AD82" s="6">
        <v>61695</v>
      </c>
      <c r="AE82" s="6">
        <v>72841</v>
      </c>
      <c r="AF82" s="6">
        <v>61000</v>
      </c>
      <c r="AG82" s="6">
        <v>64686</v>
      </c>
      <c r="AH82" s="6">
        <v>66588</v>
      </c>
      <c r="AI82" s="6">
        <v>68352</v>
      </c>
      <c r="AJ82" s="6">
        <v>66105</v>
      </c>
      <c r="AK82" s="6">
        <v>64850</v>
      </c>
      <c r="AL82" s="6">
        <v>68420</v>
      </c>
      <c r="AM82" s="6">
        <v>66984</v>
      </c>
      <c r="AN82" s="6">
        <v>73872</v>
      </c>
      <c r="AO82" s="6">
        <v>73590</v>
      </c>
      <c r="AP82" s="6">
        <v>56644</v>
      </c>
      <c r="AQ82" s="6">
        <v>63788</v>
      </c>
      <c r="AR82" s="6">
        <v>66830</v>
      </c>
      <c r="AS82" s="6">
        <v>58114</v>
      </c>
      <c r="AT82" s="6">
        <v>61673</v>
      </c>
      <c r="AU82" s="6">
        <v>62533</v>
      </c>
      <c r="AV82" s="6">
        <v>43813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</row>
    <row r="83" spans="1:64" x14ac:dyDescent="0.25">
      <c r="A83" s="1">
        <v>154</v>
      </c>
      <c r="B83" s="3" t="s">
        <v>228</v>
      </c>
      <c r="C83" s="3" t="s">
        <v>229</v>
      </c>
      <c r="D83" s="3" t="s">
        <v>232</v>
      </c>
      <c r="E83" s="6">
        <v>186572</v>
      </c>
      <c r="F83" s="6">
        <v>122209</v>
      </c>
      <c r="G83" s="6">
        <v>132067</v>
      </c>
      <c r="H83" s="6">
        <v>157565</v>
      </c>
      <c r="I83" s="6">
        <v>156992</v>
      </c>
      <c r="J83" s="6">
        <v>152318</v>
      </c>
      <c r="K83" s="6">
        <v>142148</v>
      </c>
      <c r="L83" s="6">
        <v>141427</v>
      </c>
      <c r="M83" s="6">
        <v>129902</v>
      </c>
      <c r="N83" s="6">
        <v>152588</v>
      </c>
      <c r="O83" s="6">
        <v>150587</v>
      </c>
      <c r="P83" s="6">
        <v>181682</v>
      </c>
      <c r="Q83" s="6">
        <v>192160</v>
      </c>
      <c r="R83" s="6">
        <v>121944</v>
      </c>
      <c r="S83" s="6">
        <v>138415</v>
      </c>
      <c r="T83" s="6">
        <v>149793</v>
      </c>
      <c r="U83" s="6">
        <v>139780</v>
      </c>
      <c r="V83" s="6">
        <v>157015</v>
      </c>
      <c r="W83" s="6">
        <v>156657</v>
      </c>
      <c r="X83" s="6">
        <v>151388</v>
      </c>
      <c r="Y83" s="6">
        <v>134913</v>
      </c>
      <c r="Z83" s="6">
        <v>159767</v>
      </c>
      <c r="AA83" s="6">
        <v>152228</v>
      </c>
      <c r="AB83" s="6">
        <v>191757</v>
      </c>
      <c r="AC83" s="6">
        <v>199706</v>
      </c>
      <c r="AD83" s="6">
        <v>129244</v>
      </c>
      <c r="AE83" s="6">
        <v>166923</v>
      </c>
      <c r="AF83" s="6">
        <v>127969</v>
      </c>
      <c r="AG83" s="6">
        <v>141925</v>
      </c>
      <c r="AH83" s="6">
        <v>142636</v>
      </c>
      <c r="AI83" s="6">
        <v>139641</v>
      </c>
      <c r="AJ83" s="6">
        <v>149190</v>
      </c>
      <c r="AK83" s="6">
        <v>138273</v>
      </c>
      <c r="AL83" s="6">
        <v>156464</v>
      </c>
      <c r="AM83" s="6">
        <v>153758</v>
      </c>
      <c r="AN83" s="6">
        <v>188645</v>
      </c>
      <c r="AO83" s="6">
        <v>197726</v>
      </c>
      <c r="AP83" s="6">
        <v>129161</v>
      </c>
      <c r="AQ83" s="6">
        <v>141057</v>
      </c>
      <c r="AR83" s="6">
        <v>163429</v>
      </c>
      <c r="AS83" s="6">
        <v>140403</v>
      </c>
      <c r="AT83" s="6">
        <v>151883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</row>
    <row r="84" spans="1:64" x14ac:dyDescent="0.25">
      <c r="A84" s="1">
        <v>61</v>
      </c>
      <c r="B84" s="3" t="s">
        <v>84</v>
      </c>
      <c r="C84" s="3" t="s">
        <v>85</v>
      </c>
      <c r="D84" s="3" t="s">
        <v>236</v>
      </c>
      <c r="E84" s="6">
        <v>407755</v>
      </c>
      <c r="F84" s="6">
        <v>342847</v>
      </c>
      <c r="G84" s="6">
        <v>381188</v>
      </c>
      <c r="H84" s="6">
        <v>385837</v>
      </c>
      <c r="I84" s="6">
        <v>375475</v>
      </c>
      <c r="J84" s="6">
        <v>370870</v>
      </c>
      <c r="K84" s="6">
        <v>392254</v>
      </c>
      <c r="L84" s="6">
        <v>382286</v>
      </c>
      <c r="M84" s="6">
        <v>378850</v>
      </c>
      <c r="N84" s="6">
        <v>402901</v>
      </c>
      <c r="O84" s="6">
        <v>383232</v>
      </c>
      <c r="P84" s="6">
        <v>439398</v>
      </c>
      <c r="Q84" s="6">
        <v>417402</v>
      </c>
      <c r="R84" s="6">
        <v>349907</v>
      </c>
      <c r="S84" s="6">
        <v>402396</v>
      </c>
      <c r="T84" s="6">
        <v>393979</v>
      </c>
      <c r="U84" s="6">
        <v>396053</v>
      </c>
      <c r="V84" s="6">
        <v>410312</v>
      </c>
      <c r="W84" s="6">
        <v>424205</v>
      </c>
      <c r="X84" s="6">
        <v>423797</v>
      </c>
      <c r="Y84" s="6">
        <v>411602</v>
      </c>
      <c r="Z84" s="6">
        <v>440331</v>
      </c>
      <c r="AA84" s="6">
        <v>428303</v>
      </c>
      <c r="AB84" s="6">
        <v>488261</v>
      </c>
      <c r="AC84" s="6">
        <v>469804</v>
      </c>
      <c r="AD84" s="6">
        <v>401559</v>
      </c>
      <c r="AE84" s="6">
        <v>452539</v>
      </c>
      <c r="AF84" s="6">
        <v>406289</v>
      </c>
      <c r="AG84" s="6">
        <v>434116</v>
      </c>
      <c r="AH84" s="6">
        <v>438555</v>
      </c>
      <c r="AI84" s="6">
        <v>451228</v>
      </c>
      <c r="AJ84" s="6">
        <v>446984</v>
      </c>
      <c r="AK84" s="6">
        <v>428369</v>
      </c>
      <c r="AL84" s="6">
        <v>445569</v>
      </c>
      <c r="AM84" s="6">
        <v>437048</v>
      </c>
      <c r="AN84" s="6">
        <v>489650</v>
      </c>
      <c r="AO84" s="6">
        <v>469286</v>
      </c>
      <c r="AP84" s="6">
        <v>389652</v>
      </c>
      <c r="AQ84" s="6">
        <v>436843</v>
      </c>
      <c r="AR84" s="6">
        <v>432647</v>
      </c>
      <c r="AS84" s="6">
        <v>429069</v>
      </c>
      <c r="AT84" s="6">
        <v>429501</v>
      </c>
      <c r="AU84" s="6">
        <v>447780</v>
      </c>
      <c r="AV84" s="6">
        <v>447941</v>
      </c>
      <c r="AW84" s="6">
        <v>418325</v>
      </c>
      <c r="AX84" s="6">
        <v>430464</v>
      </c>
      <c r="AY84" s="6">
        <v>430514</v>
      </c>
      <c r="AZ84" s="6">
        <v>477178</v>
      </c>
      <c r="BA84" s="6">
        <v>457150</v>
      </c>
      <c r="BB84" s="6">
        <v>382433</v>
      </c>
      <c r="BC84" s="6">
        <v>437121</v>
      </c>
      <c r="BD84" s="6">
        <v>415892</v>
      </c>
      <c r="BE84" s="6">
        <v>423826</v>
      </c>
      <c r="BF84" s="6">
        <v>419963</v>
      </c>
      <c r="BG84" s="6">
        <v>441564</v>
      </c>
      <c r="BH84" s="6">
        <v>440409</v>
      </c>
      <c r="BI84" s="6">
        <v>420007</v>
      </c>
      <c r="BJ84" s="6">
        <v>446850</v>
      </c>
      <c r="BK84" s="6">
        <v>430763</v>
      </c>
      <c r="BL84" s="6">
        <v>481567</v>
      </c>
    </row>
    <row r="85" spans="1:64" x14ac:dyDescent="0.25">
      <c r="A85" s="1">
        <v>118</v>
      </c>
      <c r="B85" s="3" t="s">
        <v>177</v>
      </c>
      <c r="C85" s="3" t="s">
        <v>178</v>
      </c>
      <c r="D85" s="3" t="s">
        <v>242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28198</v>
      </c>
      <c r="AI85" s="6">
        <v>116586</v>
      </c>
      <c r="AJ85" s="6">
        <v>138851</v>
      </c>
      <c r="AK85" s="6">
        <v>125569</v>
      </c>
      <c r="AL85" s="6">
        <v>134411</v>
      </c>
      <c r="AM85" s="6">
        <v>127987</v>
      </c>
      <c r="AN85" s="6">
        <v>157311</v>
      </c>
      <c r="AO85" s="6">
        <v>171914</v>
      </c>
      <c r="AP85" s="6">
        <v>114521</v>
      </c>
      <c r="AQ85" s="6">
        <v>126183</v>
      </c>
      <c r="AR85" s="6">
        <v>138427</v>
      </c>
      <c r="AS85" s="6">
        <v>123647</v>
      </c>
      <c r="AT85" s="6">
        <v>130447</v>
      </c>
      <c r="AU85" s="6">
        <v>129986</v>
      </c>
      <c r="AV85" s="6">
        <v>126613</v>
      </c>
      <c r="AW85" s="6">
        <v>121497</v>
      </c>
      <c r="AX85" s="6">
        <v>127829</v>
      </c>
      <c r="AY85" s="6">
        <v>125250</v>
      </c>
      <c r="AZ85" s="6">
        <v>156628</v>
      </c>
      <c r="BA85" s="6">
        <v>175756</v>
      </c>
      <c r="BB85" s="6">
        <v>110916</v>
      </c>
      <c r="BC85" s="6">
        <v>132792</v>
      </c>
      <c r="BD85" s="6">
        <v>122133</v>
      </c>
      <c r="BE85" s="6">
        <v>99084</v>
      </c>
      <c r="BF85" s="6">
        <v>80263</v>
      </c>
      <c r="BG85" s="6">
        <v>121014</v>
      </c>
      <c r="BH85" s="6">
        <v>124377</v>
      </c>
      <c r="BI85" s="6">
        <v>109983</v>
      </c>
      <c r="BJ85" s="6">
        <v>124871</v>
      </c>
      <c r="BK85" s="6">
        <v>119806</v>
      </c>
      <c r="BL85" s="6">
        <v>150954</v>
      </c>
    </row>
    <row r="86" spans="1:64" x14ac:dyDescent="0.25">
      <c r="A86" s="1">
        <v>142</v>
      </c>
      <c r="B86" s="3" t="s">
        <v>208</v>
      </c>
      <c r="C86" s="3" t="s">
        <v>209</v>
      </c>
      <c r="D86" s="3" t="s">
        <v>243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60451</v>
      </c>
      <c r="Q86" s="6">
        <v>140081</v>
      </c>
      <c r="R86" s="6">
        <v>132930</v>
      </c>
      <c r="S86" s="6">
        <v>147559</v>
      </c>
      <c r="T86" s="6">
        <v>135432</v>
      </c>
      <c r="U86" s="6">
        <v>152745</v>
      </c>
      <c r="V86" s="6">
        <v>138464</v>
      </c>
      <c r="W86" s="6">
        <v>138202</v>
      </c>
      <c r="X86" s="6">
        <v>148043</v>
      </c>
      <c r="Y86" s="6">
        <v>142512</v>
      </c>
      <c r="Z86" s="6">
        <v>148603</v>
      </c>
      <c r="AA86" s="6">
        <v>145825</v>
      </c>
      <c r="AB86" s="6">
        <v>156298</v>
      </c>
      <c r="AC86" s="6">
        <v>142677</v>
      </c>
      <c r="AD86" s="6">
        <v>137255</v>
      </c>
      <c r="AE86" s="6">
        <v>143846</v>
      </c>
      <c r="AF86" s="6">
        <v>145237</v>
      </c>
      <c r="AG86" s="6">
        <v>153732</v>
      </c>
      <c r="AH86" s="6">
        <v>145847</v>
      </c>
      <c r="AI86" s="6">
        <v>143789</v>
      </c>
      <c r="AJ86" s="6">
        <v>145099</v>
      </c>
      <c r="AK86" s="6">
        <v>143766</v>
      </c>
      <c r="AL86" s="6">
        <v>145712</v>
      </c>
      <c r="AM86" s="6">
        <v>140530</v>
      </c>
      <c r="AN86" s="6">
        <v>152842</v>
      </c>
      <c r="AO86" s="6">
        <v>138194</v>
      </c>
      <c r="AP86" s="6">
        <v>132178</v>
      </c>
      <c r="AQ86" s="6">
        <v>142914</v>
      </c>
      <c r="AR86" s="6">
        <v>137465</v>
      </c>
      <c r="AS86" s="6">
        <v>143200</v>
      </c>
      <c r="AT86" s="6">
        <v>134480</v>
      </c>
      <c r="AU86" s="6">
        <v>132498</v>
      </c>
      <c r="AV86" s="6">
        <v>137221</v>
      </c>
      <c r="AW86" s="6">
        <v>129769</v>
      </c>
      <c r="AX86" s="6">
        <v>128929</v>
      </c>
      <c r="AY86" s="6">
        <v>128146</v>
      </c>
      <c r="AZ86" s="6">
        <v>138828</v>
      </c>
      <c r="BA86" s="6">
        <v>126042</v>
      </c>
      <c r="BB86" s="6">
        <v>119737</v>
      </c>
      <c r="BC86" s="6">
        <v>134256</v>
      </c>
      <c r="BD86" s="6">
        <v>126293</v>
      </c>
      <c r="BE86" s="6">
        <v>129445</v>
      </c>
      <c r="BF86" s="6">
        <v>120884</v>
      </c>
      <c r="BG86" s="6">
        <v>105789</v>
      </c>
      <c r="BH86" s="6">
        <v>113652</v>
      </c>
      <c r="BI86" s="6">
        <v>113956</v>
      </c>
      <c r="BJ86" s="6">
        <v>118015</v>
      </c>
      <c r="BK86" s="6">
        <v>123116</v>
      </c>
      <c r="BL86" s="6">
        <v>141107</v>
      </c>
    </row>
    <row r="87" spans="1:64" x14ac:dyDescent="0.25">
      <c r="A87" s="1">
        <v>148</v>
      </c>
      <c r="B87" s="3" t="s">
        <v>222</v>
      </c>
      <c r="C87" s="3" t="s">
        <v>223</v>
      </c>
      <c r="D87" s="3" t="s">
        <v>224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6262</v>
      </c>
      <c r="Y87" s="6">
        <v>46060</v>
      </c>
      <c r="Z87" s="6">
        <v>57032</v>
      </c>
      <c r="AA87" s="6">
        <v>49849</v>
      </c>
      <c r="AB87" s="6">
        <v>65278</v>
      </c>
      <c r="AC87" s="6">
        <v>72094</v>
      </c>
      <c r="AD87" s="6">
        <v>44988</v>
      </c>
      <c r="AE87" s="6">
        <v>58182</v>
      </c>
      <c r="AF87" s="6">
        <v>44078</v>
      </c>
      <c r="AG87" s="6">
        <v>54480</v>
      </c>
      <c r="AH87" s="6">
        <v>52568</v>
      </c>
      <c r="AI87" s="6">
        <v>51303</v>
      </c>
      <c r="AJ87" s="6">
        <v>52411</v>
      </c>
      <c r="AK87" s="6">
        <v>48807</v>
      </c>
      <c r="AL87" s="6">
        <v>57399</v>
      </c>
      <c r="AM87" s="6">
        <v>55171</v>
      </c>
      <c r="AN87" s="6">
        <v>64265</v>
      </c>
      <c r="AO87" s="6">
        <v>72174</v>
      </c>
      <c r="AP87" s="6">
        <v>44139</v>
      </c>
      <c r="AQ87" s="6">
        <v>49779</v>
      </c>
      <c r="AR87" s="6">
        <v>56702</v>
      </c>
      <c r="AS87" s="6">
        <v>50541</v>
      </c>
      <c r="AT87" s="6">
        <v>53962</v>
      </c>
      <c r="AU87" s="6">
        <v>54411</v>
      </c>
      <c r="AV87" s="6">
        <v>52831</v>
      </c>
      <c r="AW87" s="6">
        <v>48272</v>
      </c>
      <c r="AX87" s="6">
        <v>55230</v>
      </c>
      <c r="AY87" s="6">
        <v>53634</v>
      </c>
      <c r="AZ87" s="6">
        <v>67529</v>
      </c>
      <c r="BA87" s="6">
        <v>69726</v>
      </c>
      <c r="BB87" s="6">
        <v>45418</v>
      </c>
      <c r="BC87" s="6">
        <v>56748</v>
      </c>
      <c r="BD87" s="6">
        <v>45836</v>
      </c>
      <c r="BE87" s="6">
        <v>48571</v>
      </c>
      <c r="BF87" s="6">
        <v>51736</v>
      </c>
      <c r="BG87" s="6">
        <v>49424</v>
      </c>
      <c r="BH87" s="6">
        <v>49533</v>
      </c>
      <c r="BI87" s="6">
        <v>44658</v>
      </c>
      <c r="BJ87" s="6">
        <v>55233</v>
      </c>
      <c r="BK87" s="6">
        <v>55079</v>
      </c>
      <c r="BL87" s="6">
        <v>68252</v>
      </c>
    </row>
    <row r="88" spans="1:64" x14ac:dyDescent="0.25">
      <c r="A88" s="1">
        <v>14</v>
      </c>
      <c r="B88" s="3" t="s">
        <v>21</v>
      </c>
      <c r="C88" s="3" t="s">
        <v>22</v>
      </c>
      <c r="D88" s="3" t="s">
        <v>23</v>
      </c>
      <c r="E88" s="6">
        <v>135060</v>
      </c>
      <c r="F88" s="6">
        <v>92375</v>
      </c>
      <c r="G88" s="6">
        <v>112571</v>
      </c>
      <c r="H88" s="6">
        <v>114981</v>
      </c>
      <c r="I88" s="6">
        <v>100442</v>
      </c>
      <c r="J88" s="6">
        <v>105084</v>
      </c>
      <c r="K88" s="6">
        <v>107294</v>
      </c>
      <c r="L88" s="6">
        <v>111381</v>
      </c>
      <c r="M88" s="6">
        <v>96829</v>
      </c>
      <c r="N88" s="6">
        <v>110752</v>
      </c>
      <c r="O88" s="6">
        <v>107715</v>
      </c>
      <c r="P88" s="6">
        <v>133041</v>
      </c>
      <c r="Q88" s="6">
        <v>143740</v>
      </c>
      <c r="R88" s="6">
        <v>108234</v>
      </c>
      <c r="S88" s="6">
        <v>112841</v>
      </c>
      <c r="T88" s="6">
        <v>114115</v>
      </c>
      <c r="U88" s="6">
        <v>111335</v>
      </c>
      <c r="V88" s="6">
        <v>118284</v>
      </c>
      <c r="W88" s="6">
        <v>121120</v>
      </c>
      <c r="X88" s="6">
        <v>117487</v>
      </c>
      <c r="Y88" s="6">
        <v>104662</v>
      </c>
      <c r="Z88" s="6">
        <v>119562</v>
      </c>
      <c r="AA88" s="6">
        <v>119983</v>
      </c>
      <c r="AB88" s="6">
        <v>142098</v>
      </c>
      <c r="AC88" s="6">
        <v>150624</v>
      </c>
      <c r="AD88" s="6">
        <v>116039</v>
      </c>
      <c r="AE88" s="6">
        <v>130521</v>
      </c>
      <c r="AF88" s="6">
        <v>105685</v>
      </c>
      <c r="AG88" s="6">
        <v>115154</v>
      </c>
      <c r="AH88" s="6">
        <v>117870</v>
      </c>
      <c r="AI88" s="6">
        <v>133283</v>
      </c>
      <c r="AJ88" s="6">
        <v>122998</v>
      </c>
      <c r="AK88" s="6">
        <v>111392</v>
      </c>
      <c r="AL88" s="6">
        <v>121392</v>
      </c>
      <c r="AM88" s="6">
        <v>114890</v>
      </c>
      <c r="AN88" s="6">
        <v>132956</v>
      </c>
      <c r="AO88" s="6">
        <v>148472</v>
      </c>
      <c r="AP88" s="6">
        <v>115275</v>
      </c>
      <c r="AQ88" s="6">
        <v>114771</v>
      </c>
      <c r="AR88" s="6">
        <v>120782</v>
      </c>
      <c r="AS88" s="6">
        <v>104331</v>
      </c>
      <c r="AT88" s="6">
        <v>115731</v>
      </c>
      <c r="AU88" s="6">
        <v>125235</v>
      </c>
      <c r="AV88" s="6">
        <v>116763</v>
      </c>
      <c r="AW88" s="6">
        <v>113680</v>
      </c>
      <c r="AX88" s="6">
        <v>128524</v>
      </c>
      <c r="AY88" s="6">
        <v>115455</v>
      </c>
      <c r="AZ88" s="6">
        <v>139205</v>
      </c>
      <c r="BA88" s="6">
        <v>152528</v>
      </c>
      <c r="BB88" s="6">
        <v>119145</v>
      </c>
      <c r="BC88" s="6">
        <v>136019</v>
      </c>
      <c r="BD88" s="6">
        <v>117994</v>
      </c>
      <c r="BE88" s="6">
        <v>111282</v>
      </c>
      <c r="BF88" s="6">
        <v>120184</v>
      </c>
      <c r="BG88" s="6">
        <v>135429</v>
      </c>
      <c r="BH88" s="6">
        <v>129188</v>
      </c>
      <c r="BI88" s="6">
        <v>114964</v>
      </c>
      <c r="BJ88" s="6">
        <v>127497</v>
      </c>
      <c r="BK88" s="6">
        <v>125773</v>
      </c>
      <c r="BL88" s="6">
        <v>154819</v>
      </c>
    </row>
    <row r="89" spans="1:64" x14ac:dyDescent="0.25">
      <c r="A89" s="1">
        <v>119</v>
      </c>
      <c r="B89" s="3" t="s">
        <v>177</v>
      </c>
      <c r="C89" s="3" t="s">
        <v>178</v>
      </c>
      <c r="D89" s="3" t="s">
        <v>182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11967</v>
      </c>
      <c r="AB89" s="6">
        <v>111761</v>
      </c>
      <c r="AC89" s="6">
        <v>135359</v>
      </c>
      <c r="AD89" s="6">
        <v>79026</v>
      </c>
      <c r="AE89" s="6">
        <v>105414</v>
      </c>
      <c r="AF89" s="6">
        <v>73636</v>
      </c>
      <c r="AG89" s="6">
        <v>83863</v>
      </c>
      <c r="AH89" s="6">
        <v>82108</v>
      </c>
      <c r="AI89" s="6">
        <v>85713</v>
      </c>
      <c r="AJ89" s="6">
        <v>73147</v>
      </c>
      <c r="AK89" s="6">
        <v>64695</v>
      </c>
      <c r="AL89" s="6">
        <v>73969</v>
      </c>
      <c r="AM89" s="6">
        <v>70050</v>
      </c>
      <c r="AN89" s="6">
        <v>88102</v>
      </c>
      <c r="AO89" s="6">
        <v>111767</v>
      </c>
      <c r="AP89" s="6">
        <v>56397</v>
      </c>
      <c r="AQ89" s="6">
        <v>65487</v>
      </c>
      <c r="AR89" s="6">
        <v>87146</v>
      </c>
      <c r="AS89" s="6">
        <v>63304</v>
      </c>
      <c r="AT89" s="6">
        <v>74579</v>
      </c>
      <c r="AU89" s="6">
        <v>77890</v>
      </c>
      <c r="AV89" s="6">
        <v>73652</v>
      </c>
      <c r="AW89" s="6">
        <v>63678</v>
      </c>
      <c r="AX89" s="6">
        <v>69962</v>
      </c>
      <c r="AY89" s="6">
        <v>68377</v>
      </c>
      <c r="AZ89" s="6">
        <v>86507</v>
      </c>
      <c r="BA89" s="6">
        <v>109344</v>
      </c>
      <c r="BB89" s="6">
        <v>54227</v>
      </c>
      <c r="BC89" s="6">
        <v>79789</v>
      </c>
      <c r="BD89" s="6">
        <v>61920</v>
      </c>
      <c r="BE89" s="6">
        <v>62764</v>
      </c>
      <c r="BF89" s="6">
        <v>78611</v>
      </c>
      <c r="BG89" s="6">
        <v>81659</v>
      </c>
      <c r="BH89" s="6">
        <v>73893</v>
      </c>
      <c r="BI89" s="6">
        <v>66819</v>
      </c>
      <c r="BJ89" s="6">
        <v>76946</v>
      </c>
      <c r="BK89" s="6">
        <v>69842</v>
      </c>
      <c r="BL89" s="6">
        <v>90098</v>
      </c>
    </row>
    <row r="90" spans="1:64" x14ac:dyDescent="0.25">
      <c r="A90" s="1">
        <v>42</v>
      </c>
      <c r="B90" s="3" t="s">
        <v>59</v>
      </c>
      <c r="C90" s="3" t="s">
        <v>60</v>
      </c>
      <c r="D90" s="3" t="s">
        <v>65</v>
      </c>
      <c r="E90" s="6">
        <v>215425</v>
      </c>
      <c r="F90" s="6">
        <v>176365</v>
      </c>
      <c r="G90" s="6">
        <v>192266</v>
      </c>
      <c r="H90" s="6">
        <v>210345</v>
      </c>
      <c r="I90" s="6">
        <v>189394</v>
      </c>
      <c r="J90" s="6">
        <v>198092</v>
      </c>
      <c r="K90" s="6">
        <v>211759</v>
      </c>
      <c r="L90" s="6">
        <v>218956</v>
      </c>
      <c r="M90" s="6">
        <v>198784</v>
      </c>
      <c r="N90" s="6">
        <v>210380</v>
      </c>
      <c r="O90" s="6">
        <v>204823</v>
      </c>
      <c r="P90" s="6">
        <v>224564</v>
      </c>
      <c r="Q90" s="6">
        <v>230658</v>
      </c>
      <c r="R90" s="6">
        <v>186498</v>
      </c>
      <c r="S90" s="6">
        <v>198122</v>
      </c>
      <c r="T90" s="6">
        <v>219543</v>
      </c>
      <c r="U90" s="6">
        <v>216823</v>
      </c>
      <c r="V90" s="6">
        <v>221626</v>
      </c>
      <c r="W90" s="6">
        <v>228114</v>
      </c>
      <c r="X90" s="6">
        <v>235965</v>
      </c>
      <c r="Y90" s="6">
        <v>209510</v>
      </c>
      <c r="Z90" s="6">
        <v>223846</v>
      </c>
      <c r="AA90" s="6">
        <v>209129</v>
      </c>
      <c r="AB90" s="6">
        <v>226289</v>
      </c>
      <c r="AC90" s="6">
        <v>247748</v>
      </c>
      <c r="AD90" s="6">
        <v>200820</v>
      </c>
      <c r="AE90" s="6">
        <v>236395</v>
      </c>
      <c r="AF90" s="6">
        <v>202887</v>
      </c>
      <c r="AG90" s="6">
        <v>218899</v>
      </c>
      <c r="AH90" s="6">
        <v>198428</v>
      </c>
      <c r="AI90" s="6">
        <v>211955</v>
      </c>
      <c r="AJ90" s="6">
        <v>238032</v>
      </c>
      <c r="AK90" s="6">
        <v>211373</v>
      </c>
      <c r="AL90" s="6">
        <v>227279</v>
      </c>
      <c r="AM90" s="6">
        <v>222578</v>
      </c>
      <c r="AN90" s="6">
        <v>232527</v>
      </c>
      <c r="AO90" s="6">
        <v>235989</v>
      </c>
      <c r="AP90" s="6">
        <v>192309</v>
      </c>
      <c r="AQ90" s="6">
        <v>208113</v>
      </c>
      <c r="AR90" s="6">
        <v>214100</v>
      </c>
      <c r="AS90" s="6">
        <v>195432</v>
      </c>
      <c r="AT90" s="6">
        <v>212071</v>
      </c>
      <c r="AU90" s="6">
        <v>231581</v>
      </c>
      <c r="AV90" s="6">
        <v>223981</v>
      </c>
      <c r="AW90" s="6">
        <v>201300</v>
      </c>
      <c r="AX90" s="6">
        <v>215732</v>
      </c>
      <c r="AY90" s="6">
        <v>212680</v>
      </c>
      <c r="AZ90" s="6">
        <v>223562</v>
      </c>
      <c r="BA90" s="6">
        <v>229284</v>
      </c>
      <c r="BB90" s="6">
        <v>190692</v>
      </c>
      <c r="BC90" s="6">
        <v>222354</v>
      </c>
      <c r="BD90" s="6">
        <v>201573</v>
      </c>
      <c r="BE90" s="6">
        <v>201855</v>
      </c>
      <c r="BF90" s="6">
        <v>208400</v>
      </c>
      <c r="BG90" s="6">
        <v>227783</v>
      </c>
      <c r="BH90" s="6">
        <v>228275</v>
      </c>
      <c r="BI90" s="6">
        <v>203337</v>
      </c>
      <c r="BJ90" s="6">
        <v>216892</v>
      </c>
      <c r="BK90" s="6">
        <v>0</v>
      </c>
      <c r="BL90" s="6">
        <v>0</v>
      </c>
    </row>
    <row r="91" spans="1:64" x14ac:dyDescent="0.25">
      <c r="A91" s="1">
        <v>81</v>
      </c>
      <c r="B91" s="3" t="s">
        <v>112</v>
      </c>
      <c r="C91" s="3" t="s">
        <v>113</v>
      </c>
      <c r="D91" s="3" t="s">
        <v>117</v>
      </c>
      <c r="E91" s="6">
        <v>250495</v>
      </c>
      <c r="F91" s="6">
        <v>165368</v>
      </c>
      <c r="G91" s="6">
        <v>173850</v>
      </c>
      <c r="H91" s="6">
        <v>200492</v>
      </c>
      <c r="I91" s="6">
        <v>178857</v>
      </c>
      <c r="J91" s="6">
        <v>190950</v>
      </c>
      <c r="K91" s="6">
        <v>198891</v>
      </c>
      <c r="L91" s="6">
        <v>183791</v>
      </c>
      <c r="M91" s="6">
        <v>174612</v>
      </c>
      <c r="N91" s="6">
        <v>194374</v>
      </c>
      <c r="O91" s="6">
        <v>182508</v>
      </c>
      <c r="P91" s="6">
        <v>222431</v>
      </c>
      <c r="Q91" s="6">
        <v>242409</v>
      </c>
      <c r="R91" s="6">
        <v>171104</v>
      </c>
      <c r="S91" s="6">
        <v>190973</v>
      </c>
      <c r="T91" s="6">
        <v>193767</v>
      </c>
      <c r="U91" s="6">
        <v>188931</v>
      </c>
      <c r="V91" s="6">
        <v>196045</v>
      </c>
      <c r="W91" s="6">
        <v>210768</v>
      </c>
      <c r="X91" s="6">
        <v>199397</v>
      </c>
      <c r="Y91" s="6">
        <v>194965</v>
      </c>
      <c r="Z91" s="6">
        <v>208702</v>
      </c>
      <c r="AA91" s="6">
        <v>200787</v>
      </c>
      <c r="AB91" s="6">
        <v>247212</v>
      </c>
      <c r="AC91" s="6">
        <v>272137</v>
      </c>
      <c r="AD91" s="6">
        <v>179564</v>
      </c>
      <c r="AE91" s="6">
        <v>207652</v>
      </c>
      <c r="AF91" s="6">
        <v>183641</v>
      </c>
      <c r="AG91" s="6">
        <v>179257</v>
      </c>
      <c r="AH91" s="6">
        <v>186452</v>
      </c>
      <c r="AI91" s="6">
        <v>178316</v>
      </c>
      <c r="AJ91" s="6">
        <v>191195</v>
      </c>
      <c r="AK91" s="6">
        <v>179391</v>
      </c>
      <c r="AL91" s="6">
        <v>192399</v>
      </c>
      <c r="AM91" s="6">
        <v>188696</v>
      </c>
      <c r="AN91" s="6">
        <v>233909</v>
      </c>
      <c r="AO91" s="6">
        <v>263817</v>
      </c>
      <c r="AP91" s="6">
        <v>167177</v>
      </c>
      <c r="AQ91" s="6">
        <v>181396</v>
      </c>
      <c r="AR91" s="6">
        <v>200549</v>
      </c>
      <c r="AS91" s="6">
        <v>179900</v>
      </c>
      <c r="AT91" s="6">
        <v>189283</v>
      </c>
      <c r="AU91" s="6">
        <v>188640</v>
      </c>
      <c r="AV91" s="6">
        <v>185718</v>
      </c>
      <c r="AW91" s="6">
        <v>182036</v>
      </c>
      <c r="AX91" s="6">
        <v>130874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</row>
    <row r="92" spans="1:64" x14ac:dyDescent="0.25">
      <c r="A92" s="1">
        <v>36</v>
      </c>
      <c r="B92" s="3" t="s">
        <v>53</v>
      </c>
      <c r="C92" s="3" t="s">
        <v>54</v>
      </c>
      <c r="D92" s="3" t="s">
        <v>57</v>
      </c>
      <c r="E92" s="6">
        <v>125884</v>
      </c>
      <c r="F92" s="6">
        <v>72154</v>
      </c>
      <c r="G92" s="6">
        <v>80981</v>
      </c>
      <c r="H92" s="6">
        <v>90453</v>
      </c>
      <c r="I92" s="6">
        <v>72551</v>
      </c>
      <c r="J92" s="6">
        <v>82994</v>
      </c>
      <c r="K92" s="6">
        <v>83149</v>
      </c>
      <c r="L92" s="6">
        <v>83243</v>
      </c>
      <c r="M92" s="6">
        <v>70998</v>
      </c>
      <c r="N92" s="6">
        <v>73852</v>
      </c>
      <c r="O92" s="6">
        <v>74196</v>
      </c>
      <c r="P92" s="6">
        <v>93778</v>
      </c>
      <c r="Q92" s="6">
        <v>119232</v>
      </c>
      <c r="R92" s="6">
        <v>71596</v>
      </c>
      <c r="S92" s="6">
        <v>80116</v>
      </c>
      <c r="T92" s="6">
        <v>86170</v>
      </c>
      <c r="U92" s="6">
        <v>79776</v>
      </c>
      <c r="V92" s="6">
        <v>87367</v>
      </c>
      <c r="W92" s="6">
        <v>88546</v>
      </c>
      <c r="X92" s="6">
        <v>88394</v>
      </c>
      <c r="Y92" s="6">
        <v>75255</v>
      </c>
      <c r="Z92" s="6">
        <v>80247</v>
      </c>
      <c r="AA92" s="6">
        <v>79437</v>
      </c>
      <c r="AB92" s="6">
        <v>105067</v>
      </c>
      <c r="AC92" s="6">
        <v>138334</v>
      </c>
      <c r="AD92" s="6">
        <v>80663</v>
      </c>
      <c r="AE92" s="6">
        <v>106330</v>
      </c>
      <c r="AF92" s="6">
        <v>76665</v>
      </c>
      <c r="AG92" s="6">
        <v>83430</v>
      </c>
      <c r="AH92" s="6">
        <v>87445</v>
      </c>
      <c r="AI92" s="6">
        <v>98729</v>
      </c>
      <c r="AJ92" s="6">
        <v>94514</v>
      </c>
      <c r="AK92" s="6">
        <v>81026</v>
      </c>
      <c r="AL92" s="6">
        <v>87771</v>
      </c>
      <c r="AM92" s="6">
        <v>87154</v>
      </c>
      <c r="AN92" s="6">
        <v>109153</v>
      </c>
      <c r="AO92" s="6">
        <v>145088</v>
      </c>
      <c r="AP92" s="6">
        <v>84158</v>
      </c>
      <c r="AQ92" s="6">
        <v>93964</v>
      </c>
      <c r="AR92" s="6">
        <v>107327</v>
      </c>
      <c r="AS92" s="6">
        <v>89865</v>
      </c>
      <c r="AT92" s="6">
        <v>95920</v>
      </c>
      <c r="AU92" s="6">
        <v>105613</v>
      </c>
      <c r="AV92" s="6">
        <v>97836</v>
      </c>
      <c r="AW92" s="6">
        <v>84519</v>
      </c>
      <c r="AX92" s="6">
        <v>98608</v>
      </c>
      <c r="AY92" s="6">
        <v>94182</v>
      </c>
      <c r="AZ92" s="6">
        <v>119569</v>
      </c>
      <c r="BA92" s="6">
        <v>152394</v>
      </c>
      <c r="BB92" s="6">
        <v>87451</v>
      </c>
      <c r="BC92" s="6">
        <v>119406</v>
      </c>
      <c r="BD92" s="6">
        <v>97084</v>
      </c>
      <c r="BE92" s="6">
        <v>92582</v>
      </c>
      <c r="BF92" s="6">
        <v>101627</v>
      </c>
      <c r="BG92" s="6">
        <v>119640</v>
      </c>
      <c r="BH92" s="6">
        <v>115612</v>
      </c>
      <c r="BI92" s="6">
        <v>98122</v>
      </c>
      <c r="BJ92" s="6">
        <v>102014</v>
      </c>
      <c r="BK92" s="6">
        <v>103792</v>
      </c>
      <c r="BL92" s="6">
        <v>129463</v>
      </c>
    </row>
    <row r="93" spans="1:64" x14ac:dyDescent="0.25">
      <c r="A93" s="8">
        <v>136</v>
      </c>
      <c r="B93" s="8" t="s">
        <v>199</v>
      </c>
      <c r="C93" s="8" t="s">
        <v>200</v>
      </c>
      <c r="D93" s="8" t="s">
        <v>52</v>
      </c>
      <c r="E93" s="6">
        <v>183666</v>
      </c>
      <c r="F93" s="6">
        <v>141643</v>
      </c>
      <c r="G93" s="6">
        <v>150254</v>
      </c>
      <c r="H93" s="6">
        <v>161628</v>
      </c>
      <c r="I93" s="6">
        <v>137766</v>
      </c>
      <c r="J93" s="6">
        <v>170872</v>
      </c>
      <c r="K93" s="6">
        <v>167777</v>
      </c>
      <c r="L93" s="6">
        <v>156489</v>
      </c>
      <c r="M93" s="6">
        <v>148657</v>
      </c>
      <c r="N93" s="6">
        <v>164297</v>
      </c>
      <c r="O93" s="6">
        <v>157429</v>
      </c>
      <c r="P93" s="6">
        <v>187094</v>
      </c>
      <c r="Q93" s="6">
        <v>177149</v>
      </c>
      <c r="R93" s="6">
        <v>126514</v>
      </c>
      <c r="S93" s="6">
        <v>143431</v>
      </c>
      <c r="T93" s="6">
        <v>143646</v>
      </c>
      <c r="U93" s="6">
        <v>139933</v>
      </c>
      <c r="V93" s="6">
        <v>170777</v>
      </c>
      <c r="W93" s="6">
        <v>159579</v>
      </c>
      <c r="X93" s="6">
        <v>150026</v>
      </c>
      <c r="Y93" s="6">
        <v>140553</v>
      </c>
      <c r="Z93" s="6">
        <v>156976</v>
      </c>
      <c r="AA93" s="6">
        <v>149056</v>
      </c>
      <c r="AB93" s="6">
        <v>183863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55020</v>
      </c>
      <c r="AI93" s="6">
        <v>159841</v>
      </c>
      <c r="AJ93" s="6">
        <v>150264</v>
      </c>
      <c r="AK93" s="6">
        <v>138367</v>
      </c>
      <c r="AL93" s="6">
        <v>158030</v>
      </c>
      <c r="AM93" s="6">
        <v>152202</v>
      </c>
      <c r="AN93" s="6">
        <v>182920</v>
      </c>
      <c r="AO93" s="6">
        <v>176039</v>
      </c>
      <c r="AP93" s="6">
        <v>123425</v>
      </c>
      <c r="AQ93" s="6">
        <v>138745</v>
      </c>
      <c r="AR93" s="6">
        <v>153095</v>
      </c>
      <c r="AS93" s="6">
        <v>138408</v>
      </c>
      <c r="AT93" s="6">
        <v>159230</v>
      </c>
      <c r="AU93" s="6">
        <v>166458</v>
      </c>
      <c r="AV93" s="6">
        <v>150301</v>
      </c>
      <c r="AW93" s="6">
        <v>136828</v>
      </c>
      <c r="AX93" s="6">
        <v>157372</v>
      </c>
      <c r="AY93" s="6">
        <v>151128</v>
      </c>
      <c r="AZ93" s="6">
        <v>190219</v>
      </c>
      <c r="BA93" s="6">
        <v>184141</v>
      </c>
      <c r="BB93" s="6">
        <v>129199</v>
      </c>
      <c r="BC93" s="6">
        <v>164717</v>
      </c>
      <c r="BD93" s="6">
        <v>145993</v>
      </c>
      <c r="BE93" s="6">
        <v>147565</v>
      </c>
      <c r="BF93" s="6">
        <v>166065</v>
      </c>
      <c r="BG93" s="6">
        <v>171047</v>
      </c>
      <c r="BH93" s="6">
        <v>155241</v>
      </c>
      <c r="BI93" s="6">
        <v>144039</v>
      </c>
      <c r="BJ93" s="6">
        <v>163510</v>
      </c>
      <c r="BK93" s="6">
        <v>157733</v>
      </c>
      <c r="BL93" s="6">
        <v>194599</v>
      </c>
    </row>
    <row r="94" spans="1:64" s="10" customFormat="1" x14ac:dyDescent="0.25">
      <c r="A94" s="8">
        <v>33</v>
      </c>
      <c r="B94" s="8" t="s">
        <v>48</v>
      </c>
      <c r="C94" s="8" t="s">
        <v>49</v>
      </c>
      <c r="D94" s="8" t="s">
        <v>52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64054</v>
      </c>
      <c r="AI94" s="6">
        <v>208313</v>
      </c>
      <c r="AJ94" s="6">
        <v>175043</v>
      </c>
      <c r="AK94" s="6">
        <v>156165</v>
      </c>
      <c r="AL94" s="6">
        <v>183619</v>
      </c>
      <c r="AM94" s="6">
        <v>171610</v>
      </c>
      <c r="AN94" s="6">
        <v>218517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</row>
    <row r="95" spans="1:64" s="10" customFormat="1" x14ac:dyDescent="0.25">
      <c r="A95" s="8">
        <v>28</v>
      </c>
      <c r="B95" s="8" t="s">
        <v>41</v>
      </c>
      <c r="C95" s="8" t="s">
        <v>42</v>
      </c>
      <c r="D95" s="8" t="s">
        <v>45</v>
      </c>
      <c r="E95" s="6">
        <v>312461</v>
      </c>
      <c r="F95" s="6">
        <v>230583</v>
      </c>
      <c r="G95" s="6">
        <v>262821</v>
      </c>
      <c r="H95" s="6">
        <v>269760</v>
      </c>
      <c r="I95" s="6">
        <v>269273</v>
      </c>
      <c r="J95" s="6">
        <v>271484</v>
      </c>
      <c r="K95" s="6">
        <v>281873</v>
      </c>
      <c r="L95" s="6">
        <v>289626</v>
      </c>
      <c r="M95" s="6">
        <v>280045</v>
      </c>
      <c r="N95" s="6">
        <v>310712</v>
      </c>
      <c r="O95" s="6">
        <v>289039</v>
      </c>
      <c r="P95" s="6">
        <v>335637</v>
      </c>
      <c r="Q95" s="6">
        <v>346204</v>
      </c>
      <c r="R95" s="6">
        <v>263234</v>
      </c>
      <c r="S95" s="6">
        <v>293911</v>
      </c>
      <c r="T95" s="6">
        <v>283873</v>
      </c>
      <c r="U95" s="6">
        <v>293754</v>
      </c>
      <c r="V95" s="6">
        <v>74557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</row>
    <row r="96" spans="1:64" s="10" customFormat="1" x14ac:dyDescent="0.25">
      <c r="A96" s="8">
        <v>132</v>
      </c>
      <c r="B96" s="8" t="s">
        <v>195</v>
      </c>
      <c r="C96" s="8" t="s">
        <v>196</v>
      </c>
      <c r="D96" s="8" t="s">
        <v>45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219606</v>
      </c>
      <c r="W96" s="6">
        <v>303403</v>
      </c>
      <c r="X96" s="6">
        <v>303033</v>
      </c>
      <c r="Y96" s="6">
        <v>289329</v>
      </c>
      <c r="Z96" s="6">
        <v>320974</v>
      </c>
      <c r="AA96" s="6">
        <v>297177</v>
      </c>
      <c r="AB96" s="6">
        <v>345157</v>
      </c>
      <c r="AC96" s="6">
        <v>343303</v>
      </c>
      <c r="AD96" s="6">
        <v>260550</v>
      </c>
      <c r="AE96" s="6">
        <v>287434</v>
      </c>
      <c r="AF96" s="6">
        <v>256722</v>
      </c>
      <c r="AG96" s="6">
        <v>273333</v>
      </c>
      <c r="AH96" s="6">
        <v>267507</v>
      </c>
      <c r="AI96" s="6">
        <v>272888</v>
      </c>
      <c r="AJ96" s="6">
        <v>276056</v>
      </c>
      <c r="AK96" s="6">
        <v>259747</v>
      </c>
      <c r="AL96" s="6">
        <v>289876</v>
      </c>
      <c r="AM96" s="6">
        <v>280205</v>
      </c>
      <c r="AN96" s="6">
        <v>316550</v>
      </c>
      <c r="AO96" s="6">
        <v>321907</v>
      </c>
      <c r="AP96" s="6">
        <v>247538</v>
      </c>
      <c r="AQ96" s="6">
        <v>275371</v>
      </c>
      <c r="AR96" s="6">
        <v>275832</v>
      </c>
      <c r="AS96" s="6">
        <v>265078</v>
      </c>
      <c r="AT96" s="6">
        <v>249469</v>
      </c>
      <c r="AU96" s="6">
        <v>268833</v>
      </c>
      <c r="AV96" s="6">
        <v>281083</v>
      </c>
      <c r="AW96" s="6">
        <v>252628</v>
      </c>
      <c r="AX96" s="6">
        <v>285099</v>
      </c>
      <c r="AY96" s="6">
        <v>274062</v>
      </c>
      <c r="AZ96" s="6">
        <v>314303</v>
      </c>
      <c r="BA96" s="6">
        <v>312655</v>
      </c>
      <c r="BB96" s="6">
        <v>226355</v>
      </c>
      <c r="BC96" s="6">
        <v>279828</v>
      </c>
      <c r="BD96" s="6">
        <v>257296</v>
      </c>
      <c r="BE96" s="6">
        <v>262948</v>
      </c>
      <c r="BF96" s="6">
        <v>267758</v>
      </c>
      <c r="BG96" s="6">
        <v>279347</v>
      </c>
      <c r="BH96" s="6">
        <v>269267</v>
      </c>
      <c r="BI96" s="6">
        <v>266521</v>
      </c>
      <c r="BJ96" s="6">
        <v>297714</v>
      </c>
      <c r="BK96" s="6">
        <v>287157</v>
      </c>
      <c r="BL96" s="6">
        <v>330469</v>
      </c>
    </row>
    <row r="97" spans="1:64" s="10" customFormat="1" x14ac:dyDescent="0.25">
      <c r="A97" s="1">
        <v>155</v>
      </c>
      <c r="B97" s="3" t="s">
        <v>228</v>
      </c>
      <c r="C97" s="3" t="s">
        <v>229</v>
      </c>
      <c r="D97" s="3" t="s">
        <v>233</v>
      </c>
      <c r="E97" s="6">
        <v>152529</v>
      </c>
      <c r="F97" s="6">
        <v>90878</v>
      </c>
      <c r="G97" s="6">
        <v>96998</v>
      </c>
      <c r="H97" s="6">
        <v>121553</v>
      </c>
      <c r="I97" s="6">
        <v>125086</v>
      </c>
      <c r="J97" s="6">
        <v>117780</v>
      </c>
      <c r="K97" s="6">
        <v>107498</v>
      </c>
      <c r="L97" s="6">
        <v>106412</v>
      </c>
      <c r="M97" s="6">
        <v>94669</v>
      </c>
      <c r="N97" s="6">
        <v>113385</v>
      </c>
      <c r="O97" s="6">
        <v>112695</v>
      </c>
      <c r="P97" s="6">
        <v>141075</v>
      </c>
      <c r="Q97" s="6">
        <v>153241</v>
      </c>
      <c r="R97" s="6">
        <v>88890</v>
      </c>
      <c r="S97" s="6">
        <v>101111</v>
      </c>
      <c r="T97" s="6">
        <v>112626</v>
      </c>
      <c r="U97" s="6">
        <v>100677</v>
      </c>
      <c r="V97" s="6">
        <v>118893</v>
      </c>
      <c r="W97" s="6">
        <v>119371</v>
      </c>
      <c r="X97" s="6">
        <v>111162</v>
      </c>
      <c r="Y97" s="6">
        <v>98712</v>
      </c>
      <c r="Z97" s="6">
        <v>117675</v>
      </c>
      <c r="AA97" s="6">
        <v>109536</v>
      </c>
      <c r="AB97" s="6">
        <v>147828</v>
      </c>
      <c r="AC97" s="6">
        <v>157019</v>
      </c>
      <c r="AD97" s="6">
        <v>90282</v>
      </c>
      <c r="AE97" s="6">
        <v>126134</v>
      </c>
      <c r="AF97" s="6">
        <v>90122</v>
      </c>
      <c r="AG97" s="6">
        <v>103540</v>
      </c>
      <c r="AH97" s="6">
        <v>103607</v>
      </c>
      <c r="AI97" s="6">
        <v>100525</v>
      </c>
      <c r="AJ97" s="6">
        <v>110136</v>
      </c>
      <c r="AK97" s="6">
        <v>100409</v>
      </c>
      <c r="AL97" s="6">
        <v>117547</v>
      </c>
      <c r="AM97" s="6">
        <v>112604</v>
      </c>
      <c r="AN97" s="6">
        <v>146394</v>
      </c>
      <c r="AO97" s="6">
        <v>160640</v>
      </c>
      <c r="AP97" s="6">
        <v>93820</v>
      </c>
      <c r="AQ97" s="6">
        <v>103675</v>
      </c>
      <c r="AR97" s="6">
        <v>127929</v>
      </c>
      <c r="AS97" s="6">
        <v>103877</v>
      </c>
      <c r="AT97" s="6">
        <v>116084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</row>
    <row r="98" spans="1:64" x14ac:dyDescent="0.25">
      <c r="A98" s="1">
        <v>82</v>
      </c>
      <c r="B98" s="3" t="s">
        <v>112</v>
      </c>
      <c r="C98" s="3" t="s">
        <v>113</v>
      </c>
      <c r="D98" s="3" t="s">
        <v>118</v>
      </c>
      <c r="E98" s="6">
        <v>229869</v>
      </c>
      <c r="F98" s="6">
        <v>142313</v>
      </c>
      <c r="G98" s="6">
        <v>149423</v>
      </c>
      <c r="H98" s="6">
        <v>178558</v>
      </c>
      <c r="I98" s="6">
        <v>154641</v>
      </c>
      <c r="J98" s="6">
        <v>169268</v>
      </c>
      <c r="K98" s="6">
        <v>178310</v>
      </c>
      <c r="L98" s="6">
        <v>160619</v>
      </c>
      <c r="M98" s="6">
        <v>152655</v>
      </c>
      <c r="N98" s="6">
        <v>168130</v>
      </c>
      <c r="O98" s="6">
        <v>155767</v>
      </c>
      <c r="P98" s="6">
        <v>191567</v>
      </c>
      <c r="Q98" s="6">
        <v>223193</v>
      </c>
      <c r="R98" s="6">
        <v>149803</v>
      </c>
      <c r="S98" s="6">
        <v>164422</v>
      </c>
      <c r="T98" s="6">
        <v>168489</v>
      </c>
      <c r="U98" s="6">
        <v>160850</v>
      </c>
      <c r="V98" s="6">
        <v>165699</v>
      </c>
      <c r="W98" s="6">
        <v>178459</v>
      </c>
      <c r="X98" s="6">
        <v>168161</v>
      </c>
      <c r="Y98" s="6">
        <v>163551</v>
      </c>
      <c r="Z98" s="6">
        <v>183308</v>
      </c>
      <c r="AA98" s="6">
        <v>176750</v>
      </c>
      <c r="AB98" s="6">
        <v>216745</v>
      </c>
      <c r="AC98" s="6">
        <v>251656</v>
      </c>
      <c r="AD98" s="6">
        <v>155982</v>
      </c>
      <c r="AE98" s="6">
        <v>188816</v>
      </c>
      <c r="AF98" s="6">
        <v>163333</v>
      </c>
      <c r="AG98" s="6">
        <v>161484</v>
      </c>
      <c r="AH98" s="6">
        <v>167053</v>
      </c>
      <c r="AI98" s="6">
        <v>159179</v>
      </c>
      <c r="AJ98" s="6">
        <v>173029</v>
      </c>
      <c r="AK98" s="6">
        <v>163306</v>
      </c>
      <c r="AL98" s="6">
        <v>176583</v>
      </c>
      <c r="AM98" s="6">
        <v>172427</v>
      </c>
      <c r="AN98" s="6">
        <v>214955</v>
      </c>
      <c r="AO98" s="6">
        <v>247435</v>
      </c>
      <c r="AP98" s="6">
        <v>148512</v>
      </c>
      <c r="AQ98" s="6">
        <v>158900</v>
      </c>
      <c r="AR98" s="6">
        <v>180999</v>
      </c>
      <c r="AS98" s="6">
        <v>157848</v>
      </c>
      <c r="AT98" s="6">
        <v>169820</v>
      </c>
      <c r="AU98" s="6">
        <v>169024</v>
      </c>
      <c r="AV98" s="6">
        <v>165075</v>
      </c>
      <c r="AW98" s="6">
        <v>159931</v>
      </c>
      <c r="AX98" s="6">
        <v>116714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</row>
    <row r="99" spans="1:64" x14ac:dyDescent="0.25">
      <c r="A99" s="1">
        <v>107</v>
      </c>
      <c r="B99" s="3" t="s">
        <v>166</v>
      </c>
      <c r="C99" s="3" t="s">
        <v>167</v>
      </c>
      <c r="D99" s="3" t="s">
        <v>168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113653</v>
      </c>
      <c r="AJ99" s="6">
        <v>102756</v>
      </c>
      <c r="AK99" s="6">
        <v>94356</v>
      </c>
      <c r="AL99" s="6">
        <v>114494</v>
      </c>
      <c r="AM99" s="6">
        <v>103254</v>
      </c>
      <c r="AN99" s="6">
        <v>111372</v>
      </c>
      <c r="AO99" s="6">
        <v>144933</v>
      </c>
      <c r="AP99" s="6">
        <v>91469</v>
      </c>
      <c r="AQ99" s="6">
        <v>99798</v>
      </c>
      <c r="AR99" s="6">
        <v>108631</v>
      </c>
      <c r="AS99" s="6">
        <v>103970</v>
      </c>
      <c r="AT99" s="6">
        <v>109220</v>
      </c>
      <c r="AU99" s="6">
        <v>120268</v>
      </c>
      <c r="AV99" s="6">
        <v>105789</v>
      </c>
      <c r="AW99" s="6">
        <v>97302</v>
      </c>
      <c r="AX99" s="6">
        <v>113483</v>
      </c>
      <c r="AY99" s="6">
        <v>110749</v>
      </c>
      <c r="AZ99" s="6">
        <v>134094</v>
      </c>
      <c r="BA99" s="6">
        <v>122738</v>
      </c>
      <c r="BB99" s="6">
        <v>91246</v>
      </c>
      <c r="BC99" s="6">
        <v>114366</v>
      </c>
      <c r="BD99" s="6">
        <v>102598</v>
      </c>
      <c r="BE99" s="6">
        <v>110179</v>
      </c>
      <c r="BF99" s="6">
        <v>132218</v>
      </c>
      <c r="BG99" s="6">
        <v>128548</v>
      </c>
      <c r="BH99" s="6">
        <v>108994</v>
      </c>
      <c r="BI99" s="6">
        <v>105747</v>
      </c>
      <c r="BJ99" s="6">
        <v>114501</v>
      </c>
      <c r="BK99" s="6">
        <v>111665</v>
      </c>
      <c r="BL99" s="6">
        <v>137566</v>
      </c>
    </row>
    <row r="100" spans="1:64" x14ac:dyDescent="0.25">
      <c r="A100" s="1">
        <v>15</v>
      </c>
      <c r="B100" s="3" t="s">
        <v>21</v>
      </c>
      <c r="C100" s="3" t="s">
        <v>22</v>
      </c>
      <c r="D100" s="3" t="s">
        <v>24</v>
      </c>
      <c r="E100" s="6">
        <v>32734</v>
      </c>
      <c r="F100" s="6">
        <v>34260</v>
      </c>
      <c r="G100" s="6">
        <v>36647</v>
      </c>
      <c r="H100" s="6">
        <v>33187</v>
      </c>
      <c r="I100" s="6">
        <v>34879</v>
      </c>
      <c r="J100" s="6">
        <v>28032</v>
      </c>
      <c r="K100" s="6">
        <v>27237</v>
      </c>
      <c r="L100" s="6">
        <v>32748</v>
      </c>
      <c r="M100" s="6">
        <v>35001</v>
      </c>
      <c r="N100" s="6">
        <v>37131</v>
      </c>
      <c r="O100" s="6">
        <v>36340</v>
      </c>
      <c r="P100" s="6">
        <v>37090</v>
      </c>
      <c r="Q100" s="6">
        <v>35763</v>
      </c>
      <c r="R100" s="6">
        <v>34828</v>
      </c>
      <c r="S100" s="6">
        <v>40851</v>
      </c>
      <c r="T100" s="6">
        <v>38947</v>
      </c>
      <c r="U100" s="6">
        <v>40089</v>
      </c>
      <c r="V100" s="6">
        <v>34568</v>
      </c>
      <c r="W100" s="6">
        <v>32776</v>
      </c>
      <c r="X100" s="6">
        <v>39939</v>
      </c>
      <c r="Y100" s="6">
        <v>41656</v>
      </c>
      <c r="Z100" s="6">
        <v>39996</v>
      </c>
      <c r="AA100" s="6">
        <v>40196</v>
      </c>
      <c r="AB100" s="6">
        <v>39895</v>
      </c>
      <c r="AC100" s="6">
        <v>40298</v>
      </c>
      <c r="AD100" s="6">
        <v>42069</v>
      </c>
      <c r="AE100" s="6">
        <v>42931</v>
      </c>
      <c r="AF100" s="6">
        <v>45849</v>
      </c>
      <c r="AG100" s="6">
        <v>47031</v>
      </c>
      <c r="AH100" s="6">
        <v>37946</v>
      </c>
      <c r="AI100" s="6">
        <v>32533</v>
      </c>
      <c r="AJ100" s="6">
        <v>37712</v>
      </c>
      <c r="AK100" s="6">
        <v>38920</v>
      </c>
      <c r="AL100" s="6">
        <v>29337</v>
      </c>
      <c r="AM100" s="6">
        <v>27283</v>
      </c>
      <c r="AN100" s="6">
        <v>27521</v>
      </c>
      <c r="AO100" s="6">
        <v>32914</v>
      </c>
      <c r="AP100" s="6">
        <v>28440</v>
      </c>
      <c r="AQ100" s="6">
        <v>34582</v>
      </c>
      <c r="AR100" s="6">
        <v>32249</v>
      </c>
      <c r="AS100" s="6">
        <v>38477</v>
      </c>
      <c r="AT100" s="6">
        <v>35054</v>
      </c>
      <c r="AU100" s="6">
        <v>32369</v>
      </c>
      <c r="AV100" s="6">
        <v>40902</v>
      </c>
      <c r="AW100" s="6">
        <v>45714</v>
      </c>
      <c r="AX100" s="6">
        <v>47437</v>
      </c>
      <c r="AY100" s="6">
        <v>52801</v>
      </c>
      <c r="AZ100" s="6">
        <v>46911</v>
      </c>
      <c r="BA100" s="6">
        <v>48567</v>
      </c>
      <c r="BB100" s="6">
        <v>44770</v>
      </c>
      <c r="BC100" s="6">
        <v>50705</v>
      </c>
      <c r="BD100" s="6">
        <v>56273</v>
      </c>
      <c r="BE100" s="6">
        <v>56995</v>
      </c>
      <c r="BF100" s="6">
        <v>44371</v>
      </c>
      <c r="BG100" s="6">
        <v>134189</v>
      </c>
      <c r="BH100" s="6">
        <v>54368</v>
      </c>
      <c r="BI100" s="6">
        <v>55416</v>
      </c>
      <c r="BJ100" s="6">
        <v>55238</v>
      </c>
      <c r="BK100" s="6">
        <v>54656</v>
      </c>
      <c r="BL100" s="6">
        <v>51989</v>
      </c>
    </row>
    <row r="101" spans="1:64" x14ac:dyDescent="0.25">
      <c r="A101" s="1">
        <v>37</v>
      </c>
      <c r="B101" s="3" t="s">
        <v>53</v>
      </c>
      <c r="C101" s="3" t="s">
        <v>54</v>
      </c>
      <c r="D101" s="3" t="s">
        <v>58</v>
      </c>
      <c r="E101" s="6">
        <v>94659</v>
      </c>
      <c r="F101" s="6">
        <v>61616</v>
      </c>
      <c r="G101" s="6">
        <v>62094</v>
      </c>
      <c r="H101" s="6">
        <v>70531</v>
      </c>
      <c r="I101" s="6">
        <v>63286</v>
      </c>
      <c r="J101" s="6">
        <v>62261</v>
      </c>
      <c r="K101" s="6">
        <v>69657</v>
      </c>
      <c r="L101" s="6">
        <v>65240</v>
      </c>
      <c r="M101" s="6">
        <v>64780</v>
      </c>
      <c r="N101" s="6">
        <v>73629</v>
      </c>
      <c r="O101" s="6">
        <v>77843</v>
      </c>
      <c r="P101" s="6">
        <v>89048</v>
      </c>
      <c r="Q101" s="6">
        <v>73361</v>
      </c>
      <c r="R101" s="6">
        <v>64545</v>
      </c>
      <c r="S101" s="6">
        <v>72021</v>
      </c>
      <c r="T101" s="6">
        <v>67248</v>
      </c>
      <c r="U101" s="6">
        <v>71017</v>
      </c>
      <c r="V101" s="6">
        <v>72793</v>
      </c>
      <c r="W101" s="6">
        <v>78701</v>
      </c>
      <c r="X101" s="6">
        <v>67179</v>
      </c>
      <c r="Y101" s="6">
        <v>33025</v>
      </c>
      <c r="Z101" s="6">
        <v>26958</v>
      </c>
      <c r="AA101" s="6">
        <v>27430</v>
      </c>
      <c r="AB101" s="6">
        <v>34000</v>
      </c>
      <c r="AC101" s="6">
        <v>29217</v>
      </c>
      <c r="AD101" s="6">
        <v>29308</v>
      </c>
      <c r="AE101" s="6">
        <v>33678</v>
      </c>
      <c r="AF101" s="6">
        <v>32501</v>
      </c>
      <c r="AG101" s="6">
        <v>35310</v>
      </c>
      <c r="AH101" s="6">
        <v>35470</v>
      </c>
      <c r="AI101" s="6">
        <v>43485</v>
      </c>
      <c r="AJ101" s="6">
        <v>51105</v>
      </c>
      <c r="AK101" s="6">
        <v>52437</v>
      </c>
      <c r="AL101" s="6">
        <v>56258</v>
      </c>
      <c r="AM101" s="6">
        <v>56877</v>
      </c>
      <c r="AN101" s="6">
        <v>61276</v>
      </c>
      <c r="AO101" s="6">
        <v>59840</v>
      </c>
      <c r="AP101" s="6">
        <v>54269</v>
      </c>
      <c r="AQ101" s="6">
        <v>56684</v>
      </c>
      <c r="AR101" s="6">
        <v>54516</v>
      </c>
      <c r="AS101" s="6">
        <v>53329</v>
      </c>
      <c r="AT101" s="6">
        <v>52557</v>
      </c>
      <c r="AU101" s="6">
        <v>61615</v>
      </c>
      <c r="AV101" s="6">
        <v>70409</v>
      </c>
      <c r="AW101" s="6">
        <v>68900</v>
      </c>
      <c r="AX101" s="6">
        <v>71289</v>
      </c>
      <c r="AY101" s="6">
        <v>72779</v>
      </c>
      <c r="AZ101" s="6">
        <v>89419</v>
      </c>
      <c r="BA101" s="6">
        <v>77902</v>
      </c>
      <c r="BB101" s="6">
        <v>63791</v>
      </c>
      <c r="BC101" s="6">
        <v>59363</v>
      </c>
      <c r="BD101" s="6">
        <v>58706</v>
      </c>
      <c r="BE101" s="6">
        <v>53101</v>
      </c>
      <c r="BF101" s="6">
        <v>52875</v>
      </c>
      <c r="BG101" s="6">
        <v>64956</v>
      </c>
      <c r="BH101" s="6">
        <v>64174</v>
      </c>
      <c r="BI101" s="6">
        <v>61102</v>
      </c>
      <c r="BJ101" s="6">
        <v>64745</v>
      </c>
      <c r="BK101" s="6">
        <v>65382</v>
      </c>
      <c r="BL101" s="6">
        <v>89188</v>
      </c>
    </row>
    <row r="102" spans="1:64" x14ac:dyDescent="0.25">
      <c r="A102" s="1">
        <v>73</v>
      </c>
      <c r="B102" s="3" t="s">
        <v>100</v>
      </c>
      <c r="C102" s="3" t="s">
        <v>101</v>
      </c>
      <c r="D102" s="3" t="s">
        <v>105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85169</v>
      </c>
      <c r="AR102" s="6">
        <v>92529</v>
      </c>
      <c r="AS102" s="6">
        <v>85672</v>
      </c>
      <c r="AT102" s="6">
        <v>89215</v>
      </c>
      <c r="AU102" s="6">
        <v>90760</v>
      </c>
      <c r="AV102" s="6">
        <v>87697</v>
      </c>
      <c r="AW102" s="6">
        <v>83603</v>
      </c>
      <c r="AX102" s="6">
        <v>86849</v>
      </c>
      <c r="AY102" s="6">
        <v>84735</v>
      </c>
      <c r="AZ102" s="6">
        <v>97173</v>
      </c>
      <c r="BA102" s="6">
        <v>101880</v>
      </c>
      <c r="BB102" s="6">
        <v>76785</v>
      </c>
      <c r="BC102" s="6">
        <v>90347</v>
      </c>
      <c r="BD102" s="6">
        <v>84457</v>
      </c>
      <c r="BE102" s="6">
        <v>80123</v>
      </c>
      <c r="BF102" s="6">
        <v>81435</v>
      </c>
      <c r="BG102" s="6">
        <v>86212</v>
      </c>
      <c r="BH102" s="6">
        <v>88206</v>
      </c>
      <c r="BI102" s="6">
        <v>81762</v>
      </c>
      <c r="BJ102" s="6">
        <v>87890</v>
      </c>
      <c r="BK102" s="6">
        <v>84942</v>
      </c>
      <c r="BL102" s="6">
        <v>96527</v>
      </c>
    </row>
    <row r="103" spans="1:64" x14ac:dyDescent="0.25">
      <c r="A103" s="1">
        <v>43</v>
      </c>
      <c r="B103" s="3" t="s">
        <v>59</v>
      </c>
      <c r="C103" s="3" t="s">
        <v>60</v>
      </c>
      <c r="D103" s="3" t="s">
        <v>66</v>
      </c>
      <c r="E103" s="6">
        <v>21242</v>
      </c>
      <c r="F103" s="6">
        <v>18609</v>
      </c>
      <c r="G103" s="6">
        <v>21415</v>
      </c>
      <c r="H103" s="6">
        <v>20394</v>
      </c>
      <c r="I103" s="6">
        <v>24591</v>
      </c>
      <c r="J103" s="6">
        <v>20095</v>
      </c>
      <c r="K103" s="6">
        <v>21377</v>
      </c>
      <c r="L103" s="6">
        <v>20291</v>
      </c>
      <c r="M103" s="6">
        <v>21908</v>
      </c>
      <c r="N103" s="6">
        <v>21977</v>
      </c>
      <c r="O103" s="6">
        <v>20057</v>
      </c>
      <c r="P103" s="6">
        <v>24191</v>
      </c>
      <c r="Q103" s="6">
        <v>24359</v>
      </c>
      <c r="R103" s="6">
        <v>19311</v>
      </c>
      <c r="S103" s="6">
        <v>23766</v>
      </c>
      <c r="T103" s="6">
        <v>20986</v>
      </c>
      <c r="U103" s="6">
        <v>23463</v>
      </c>
      <c r="V103" s="6">
        <v>22954</v>
      </c>
      <c r="W103" s="6">
        <v>25468</v>
      </c>
      <c r="X103" s="6">
        <v>23842</v>
      </c>
      <c r="Y103" s="6">
        <v>23860</v>
      </c>
      <c r="Z103" s="6">
        <v>24953</v>
      </c>
      <c r="AA103" s="6">
        <v>28070</v>
      </c>
      <c r="AB103" s="6">
        <v>32056</v>
      </c>
      <c r="AC103" s="6">
        <v>25437</v>
      </c>
      <c r="AD103" s="6">
        <v>22339</v>
      </c>
      <c r="AE103" s="6">
        <v>24585</v>
      </c>
      <c r="AF103" s="6">
        <v>24152</v>
      </c>
      <c r="AG103" s="6">
        <v>25983</v>
      </c>
      <c r="AH103" s="6">
        <v>26254</v>
      </c>
      <c r="AI103" s="6">
        <v>29884</v>
      </c>
      <c r="AJ103" s="6">
        <v>26939</v>
      </c>
      <c r="AK103" s="6">
        <v>26701</v>
      </c>
      <c r="AL103" s="6">
        <v>27635</v>
      </c>
      <c r="AM103" s="6">
        <v>25843</v>
      </c>
      <c r="AN103" s="6">
        <v>30527</v>
      </c>
      <c r="AO103" s="6">
        <v>28200</v>
      </c>
      <c r="AP103" s="6">
        <v>24514</v>
      </c>
      <c r="AQ103" s="6">
        <v>26640</v>
      </c>
      <c r="AR103" s="6">
        <v>27341</v>
      </c>
      <c r="AS103" s="6">
        <v>26187</v>
      </c>
      <c r="AT103" s="6">
        <v>27351</v>
      </c>
      <c r="AU103" s="6">
        <v>29337</v>
      </c>
      <c r="AV103" s="6">
        <v>27432</v>
      </c>
      <c r="AW103" s="6">
        <v>25732</v>
      </c>
      <c r="AX103" s="6">
        <v>27677</v>
      </c>
      <c r="AY103" s="6">
        <v>27789</v>
      </c>
      <c r="AZ103" s="6">
        <v>33442</v>
      </c>
      <c r="BA103" s="6">
        <v>28642</v>
      </c>
      <c r="BB103" s="6">
        <v>26527</v>
      </c>
      <c r="BC103" s="6">
        <v>30714</v>
      </c>
      <c r="BD103" s="6">
        <v>30514</v>
      </c>
      <c r="BE103" s="6">
        <v>27657</v>
      </c>
      <c r="BF103" s="6">
        <v>27886</v>
      </c>
      <c r="BG103" s="6">
        <v>29668</v>
      </c>
      <c r="BH103" s="6">
        <v>29391</v>
      </c>
      <c r="BI103" s="6">
        <v>27646</v>
      </c>
      <c r="BJ103" s="6">
        <v>29843</v>
      </c>
      <c r="BK103" s="6">
        <v>0</v>
      </c>
      <c r="BL103" s="6">
        <v>0</v>
      </c>
    </row>
    <row r="104" spans="1:64" x14ac:dyDescent="0.25">
      <c r="A104" s="1">
        <v>3</v>
      </c>
      <c r="B104" s="3" t="s">
        <v>4</v>
      </c>
      <c r="C104" s="3" t="s">
        <v>5</v>
      </c>
      <c r="D104" s="3" t="s">
        <v>244</v>
      </c>
      <c r="E104" s="6">
        <v>119245</v>
      </c>
      <c r="F104" s="6">
        <v>110357</v>
      </c>
      <c r="G104" s="6">
        <v>123589</v>
      </c>
      <c r="H104" s="6">
        <v>109017</v>
      </c>
      <c r="I104" s="6">
        <v>100533</v>
      </c>
      <c r="J104" s="6">
        <v>96463</v>
      </c>
      <c r="K104" s="6">
        <v>101991</v>
      </c>
      <c r="L104" s="6">
        <v>103155</v>
      </c>
      <c r="M104" s="6">
        <v>93281</v>
      </c>
      <c r="N104" s="6">
        <v>101137</v>
      </c>
      <c r="O104" s="6">
        <v>97157</v>
      </c>
      <c r="P104" s="6">
        <v>117189</v>
      </c>
      <c r="Q104" s="6">
        <v>125741</v>
      </c>
      <c r="R104" s="6">
        <v>100019</v>
      </c>
      <c r="S104" s="6">
        <v>103445</v>
      </c>
      <c r="T104" s="6">
        <v>111368</v>
      </c>
      <c r="U104" s="6">
        <v>132227</v>
      </c>
      <c r="V104" s="6">
        <v>128019</v>
      </c>
      <c r="W104" s="6">
        <v>119664</v>
      </c>
      <c r="X104" s="6">
        <v>106049</v>
      </c>
      <c r="Y104" s="6">
        <v>97156</v>
      </c>
      <c r="Z104" s="6">
        <v>104957</v>
      </c>
      <c r="AA104" s="6">
        <v>101157</v>
      </c>
      <c r="AB104" s="6">
        <v>126314</v>
      </c>
      <c r="AC104" s="6">
        <v>128523</v>
      </c>
      <c r="AD104" s="6">
        <v>88179</v>
      </c>
      <c r="AE104" s="6">
        <v>103801</v>
      </c>
      <c r="AF104" s="6">
        <v>90936</v>
      </c>
      <c r="AG104" s="6">
        <v>97476</v>
      </c>
      <c r="AH104" s="6">
        <v>97013</v>
      </c>
      <c r="AI104" s="6">
        <v>105797</v>
      </c>
      <c r="AJ104" s="6">
        <v>101695</v>
      </c>
      <c r="AK104" s="6">
        <v>95892</v>
      </c>
      <c r="AL104" s="6">
        <v>108653</v>
      </c>
      <c r="AM104" s="6">
        <v>104341</v>
      </c>
      <c r="AN104" s="6">
        <v>122900</v>
      </c>
      <c r="AO104" s="6">
        <v>133414</v>
      </c>
      <c r="AP104" s="6">
        <v>89532</v>
      </c>
      <c r="AQ104" s="6">
        <v>102439</v>
      </c>
      <c r="AR104" s="6">
        <v>107951</v>
      </c>
      <c r="AS104" s="6">
        <v>129959</v>
      </c>
      <c r="AT104" s="6">
        <v>106654</v>
      </c>
      <c r="AU104" s="6">
        <v>110250</v>
      </c>
      <c r="AV104" s="6">
        <v>110073</v>
      </c>
      <c r="AW104" s="6">
        <v>102454</v>
      </c>
      <c r="AX104" s="6">
        <v>113191</v>
      </c>
      <c r="AY104" s="6">
        <v>125305</v>
      </c>
      <c r="AZ104" s="6">
        <v>133530</v>
      </c>
      <c r="BA104" s="6">
        <v>140770</v>
      </c>
      <c r="BB104" s="6">
        <v>102959</v>
      </c>
      <c r="BC104" s="6">
        <v>117668</v>
      </c>
      <c r="BD104" s="6">
        <v>107033</v>
      </c>
      <c r="BE104" s="6">
        <v>109986</v>
      </c>
      <c r="BF104" s="6">
        <v>93357</v>
      </c>
      <c r="BG104" s="6">
        <v>118587</v>
      </c>
      <c r="BH104" s="6">
        <v>118063</v>
      </c>
      <c r="BI104" s="6">
        <v>104595</v>
      </c>
      <c r="BJ104" s="6">
        <v>114612</v>
      </c>
      <c r="BK104" s="6">
        <v>109240</v>
      </c>
      <c r="BL104" s="6">
        <v>128892</v>
      </c>
    </row>
    <row r="105" spans="1:64" x14ac:dyDescent="0.25">
      <c r="A105" s="1">
        <v>103</v>
      </c>
      <c r="B105" s="3" t="s">
        <v>157</v>
      </c>
      <c r="C105" s="3" t="s">
        <v>158</v>
      </c>
      <c r="D105" s="3" t="s">
        <v>245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63458</v>
      </c>
      <c r="AJ105" s="6">
        <v>67890</v>
      </c>
      <c r="AK105" s="6">
        <v>62212</v>
      </c>
      <c r="AL105" s="6">
        <v>67676</v>
      </c>
      <c r="AM105" s="6">
        <v>65586</v>
      </c>
      <c r="AN105" s="6">
        <v>78025</v>
      </c>
      <c r="AO105" s="6">
        <v>78911</v>
      </c>
      <c r="AP105" s="6">
        <v>59808</v>
      </c>
      <c r="AQ105" s="6">
        <v>63877</v>
      </c>
      <c r="AR105" s="6">
        <v>69824</v>
      </c>
      <c r="AS105" s="6">
        <v>66248</v>
      </c>
      <c r="AT105" s="6">
        <v>67052</v>
      </c>
      <c r="AU105" s="6">
        <v>70060</v>
      </c>
      <c r="AV105" s="6">
        <v>69410</v>
      </c>
      <c r="AW105" s="6">
        <v>65560</v>
      </c>
      <c r="AX105" s="6">
        <v>73544</v>
      </c>
      <c r="AY105" s="6">
        <v>70531</v>
      </c>
      <c r="AZ105" s="6">
        <v>84042</v>
      </c>
      <c r="BA105" s="6">
        <v>82269</v>
      </c>
      <c r="BB105" s="6">
        <v>59850</v>
      </c>
      <c r="BC105" s="6">
        <v>71445</v>
      </c>
      <c r="BD105" s="6">
        <v>69528</v>
      </c>
      <c r="BE105" s="6">
        <v>51792</v>
      </c>
      <c r="BF105" s="6">
        <v>68859</v>
      </c>
      <c r="BG105" s="6">
        <v>73328</v>
      </c>
      <c r="BH105" s="6">
        <v>71906</v>
      </c>
      <c r="BI105" s="6">
        <v>66187</v>
      </c>
      <c r="BJ105" s="6">
        <v>71078</v>
      </c>
      <c r="BK105" s="6">
        <v>67532</v>
      </c>
      <c r="BL105" s="6">
        <v>87229</v>
      </c>
    </row>
    <row r="106" spans="1:64" x14ac:dyDescent="0.25">
      <c r="A106" s="1">
        <v>13</v>
      </c>
      <c r="B106" s="3" t="s">
        <v>17</v>
      </c>
      <c r="C106" s="3" t="s">
        <v>18</v>
      </c>
      <c r="D106" s="3" t="s">
        <v>20</v>
      </c>
      <c r="E106" s="6">
        <v>348866</v>
      </c>
      <c r="F106" s="6">
        <v>240257</v>
      </c>
      <c r="G106" s="6">
        <v>286677</v>
      </c>
      <c r="H106" s="6">
        <v>315141</v>
      </c>
      <c r="I106" s="6">
        <v>279264</v>
      </c>
      <c r="J106" s="6">
        <v>310398</v>
      </c>
      <c r="K106" s="6">
        <v>293076</v>
      </c>
      <c r="L106" s="6">
        <v>306237</v>
      </c>
      <c r="M106" s="6">
        <v>267331</v>
      </c>
      <c r="N106" s="6">
        <v>314639</v>
      </c>
      <c r="O106" s="6">
        <v>294815</v>
      </c>
      <c r="P106" s="6">
        <v>357431</v>
      </c>
      <c r="Q106" s="6">
        <v>363659</v>
      </c>
      <c r="R106" s="6">
        <v>244612</v>
      </c>
      <c r="S106" s="6">
        <v>283508</v>
      </c>
      <c r="T106" s="6">
        <v>287437</v>
      </c>
      <c r="U106" s="6">
        <v>288200</v>
      </c>
      <c r="V106" s="6">
        <v>329437</v>
      </c>
      <c r="W106" s="6">
        <v>330786</v>
      </c>
      <c r="X106" s="6">
        <v>325704</v>
      </c>
      <c r="Y106" s="6">
        <v>286153</v>
      </c>
      <c r="Z106" s="6">
        <v>338790</v>
      </c>
      <c r="AA106" s="6">
        <v>314425</v>
      </c>
      <c r="AB106" s="6">
        <v>383001</v>
      </c>
      <c r="AC106" s="6">
        <v>383422</v>
      </c>
      <c r="AD106" s="6">
        <v>263307</v>
      </c>
      <c r="AE106" s="6">
        <v>319108</v>
      </c>
      <c r="AF106" s="6">
        <v>253478</v>
      </c>
      <c r="AG106" s="6">
        <v>281955</v>
      </c>
      <c r="AH106" s="6">
        <v>282980</v>
      </c>
      <c r="AI106" s="6">
        <v>300970</v>
      </c>
      <c r="AJ106" s="6">
        <v>287844</v>
      </c>
      <c r="AK106" s="6">
        <v>266136</v>
      </c>
      <c r="AL106" s="6">
        <v>314772</v>
      </c>
      <c r="AM106" s="6">
        <v>296512</v>
      </c>
      <c r="AN106" s="6">
        <v>354844</v>
      </c>
      <c r="AO106" s="6">
        <v>370514</v>
      </c>
      <c r="AP106" s="6">
        <v>247813</v>
      </c>
      <c r="AQ106" s="6">
        <v>287714</v>
      </c>
      <c r="AR106" s="6">
        <v>314638</v>
      </c>
      <c r="AS106" s="6">
        <v>276057</v>
      </c>
      <c r="AT106" s="6">
        <v>279307</v>
      </c>
      <c r="AU106" s="6">
        <v>283106</v>
      </c>
      <c r="AV106" s="6">
        <v>304890</v>
      </c>
      <c r="AW106" s="6">
        <v>266286</v>
      </c>
      <c r="AX106" s="6">
        <v>314050</v>
      </c>
      <c r="AY106" s="6">
        <v>295676</v>
      </c>
      <c r="AZ106" s="6">
        <v>373668</v>
      </c>
      <c r="BA106" s="6">
        <v>372908</v>
      </c>
      <c r="BB106" s="6">
        <v>223727</v>
      </c>
      <c r="BC106" s="6">
        <v>310837</v>
      </c>
      <c r="BD106" s="6">
        <v>273412</v>
      </c>
      <c r="BE106" s="6">
        <v>255888</v>
      </c>
      <c r="BF106" s="6">
        <v>295927</v>
      </c>
      <c r="BG106" s="6">
        <v>283925</v>
      </c>
      <c r="BH106" s="6">
        <v>238006</v>
      </c>
      <c r="BI106" s="6">
        <v>232825</v>
      </c>
      <c r="BJ106" s="6">
        <v>298317</v>
      </c>
      <c r="BK106" s="6">
        <v>293347</v>
      </c>
      <c r="BL106" s="6">
        <v>361040</v>
      </c>
    </row>
    <row r="107" spans="1:64" x14ac:dyDescent="0.25">
      <c r="A107" s="1">
        <v>83</v>
      </c>
      <c r="B107" s="3" t="s">
        <v>112</v>
      </c>
      <c r="C107" s="3" t="s">
        <v>113</v>
      </c>
      <c r="D107" s="3" t="s">
        <v>119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33448</v>
      </c>
      <c r="U107" s="6">
        <v>65259</v>
      </c>
      <c r="V107" s="6">
        <v>66510</v>
      </c>
      <c r="W107" s="6">
        <v>67801</v>
      </c>
      <c r="X107" s="6">
        <v>67524</v>
      </c>
      <c r="Y107" s="6">
        <v>63817</v>
      </c>
      <c r="Z107" s="6">
        <v>66225</v>
      </c>
      <c r="AA107" s="6">
        <v>65628</v>
      </c>
      <c r="AB107" s="6">
        <v>75735</v>
      </c>
      <c r="AC107" s="6">
        <v>78224</v>
      </c>
      <c r="AD107" s="6">
        <v>58097</v>
      </c>
      <c r="AE107" s="6">
        <v>67922</v>
      </c>
      <c r="AF107" s="6">
        <v>66343</v>
      </c>
      <c r="AG107" s="6">
        <v>64141</v>
      </c>
      <c r="AH107" s="6">
        <v>64349</v>
      </c>
      <c r="AI107" s="6">
        <v>60989</v>
      </c>
      <c r="AJ107" s="6">
        <v>67511</v>
      </c>
      <c r="AK107" s="6">
        <v>61066</v>
      </c>
      <c r="AL107" s="6">
        <v>67328</v>
      </c>
      <c r="AM107" s="6">
        <v>65985</v>
      </c>
      <c r="AN107" s="6">
        <v>73677</v>
      </c>
      <c r="AO107" s="6">
        <v>74927</v>
      </c>
      <c r="AP107" s="6">
        <v>55560</v>
      </c>
      <c r="AQ107" s="6">
        <v>58962</v>
      </c>
      <c r="AR107" s="6">
        <v>63888</v>
      </c>
      <c r="AS107" s="6">
        <v>60353</v>
      </c>
      <c r="AT107" s="6">
        <v>61926</v>
      </c>
      <c r="AU107" s="6">
        <v>63572</v>
      </c>
      <c r="AV107" s="6">
        <v>64759</v>
      </c>
      <c r="AW107" s="6">
        <v>63561</v>
      </c>
      <c r="AX107" s="6">
        <v>41770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</row>
    <row r="108" spans="1:64" x14ac:dyDescent="0.25">
      <c r="A108" s="1">
        <v>74</v>
      </c>
      <c r="B108" s="3" t="s">
        <v>100</v>
      </c>
      <c r="C108" s="3" t="s">
        <v>101</v>
      </c>
      <c r="D108" s="3" t="s">
        <v>106</v>
      </c>
      <c r="E108" s="6">
        <v>117989</v>
      </c>
      <c r="F108" s="6">
        <v>95314</v>
      </c>
      <c r="G108" s="6">
        <v>103997</v>
      </c>
      <c r="H108" s="6">
        <v>115285</v>
      </c>
      <c r="I108" s="6">
        <v>108890</v>
      </c>
      <c r="J108" s="6">
        <v>106166</v>
      </c>
      <c r="K108" s="6">
        <v>110461</v>
      </c>
      <c r="L108" s="6">
        <v>103416</v>
      </c>
      <c r="M108" s="6">
        <v>97292</v>
      </c>
      <c r="N108" s="6">
        <v>103821</v>
      </c>
      <c r="O108" s="6">
        <v>101197</v>
      </c>
      <c r="P108" s="6">
        <v>121795</v>
      </c>
      <c r="Q108" s="6">
        <v>84863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</row>
    <row r="109" spans="1:64" x14ac:dyDescent="0.25">
      <c r="A109" s="8">
        <v>29</v>
      </c>
      <c r="B109" s="8" t="s">
        <v>41</v>
      </c>
      <c r="C109" s="8" t="s">
        <v>42</v>
      </c>
      <c r="D109" s="8" t="s">
        <v>46</v>
      </c>
      <c r="E109" s="6">
        <v>311421</v>
      </c>
      <c r="F109" s="6">
        <v>240764</v>
      </c>
      <c r="G109" s="6">
        <v>268402</v>
      </c>
      <c r="H109" s="6">
        <v>272239</v>
      </c>
      <c r="I109" s="6">
        <v>263873</v>
      </c>
      <c r="J109" s="6">
        <v>260705</v>
      </c>
      <c r="K109" s="6">
        <v>261938</v>
      </c>
      <c r="L109" s="6">
        <v>280389</v>
      </c>
      <c r="M109" s="6">
        <v>259213</v>
      </c>
      <c r="N109" s="6">
        <v>278112</v>
      </c>
      <c r="O109" s="6">
        <v>271010</v>
      </c>
      <c r="P109" s="6">
        <v>310740</v>
      </c>
      <c r="Q109" s="6">
        <v>317931</v>
      </c>
      <c r="R109" s="6">
        <v>240406</v>
      </c>
      <c r="S109" s="6">
        <v>277074</v>
      </c>
      <c r="T109" s="6">
        <v>267354</v>
      </c>
      <c r="U109" s="6">
        <v>276893</v>
      </c>
      <c r="V109" s="6">
        <v>281550</v>
      </c>
      <c r="W109" s="6">
        <v>294161</v>
      </c>
      <c r="X109" s="6">
        <v>298258</v>
      </c>
      <c r="Y109" s="6">
        <v>72824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</row>
    <row r="110" spans="1:64" x14ac:dyDescent="0.25">
      <c r="A110" s="8">
        <v>149</v>
      </c>
      <c r="B110" s="8" t="s">
        <v>225</v>
      </c>
      <c r="C110" s="8" t="s">
        <v>226</v>
      </c>
      <c r="D110" s="8" t="s">
        <v>46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205730</v>
      </c>
      <c r="Z110" s="6">
        <v>297386</v>
      </c>
      <c r="AA110" s="6">
        <v>289849</v>
      </c>
      <c r="AB110" s="6">
        <v>334839</v>
      </c>
      <c r="AC110" s="6">
        <v>343383</v>
      </c>
      <c r="AD110" s="6">
        <v>263257</v>
      </c>
      <c r="AE110" s="6">
        <v>302219</v>
      </c>
      <c r="AF110" s="6">
        <v>261428</v>
      </c>
      <c r="AG110" s="6">
        <v>282668</v>
      </c>
      <c r="AH110" s="6">
        <v>271290</v>
      </c>
      <c r="AI110" s="6">
        <v>295371</v>
      </c>
      <c r="AJ110" s="6">
        <v>290176</v>
      </c>
      <c r="AK110" s="6">
        <v>275589</v>
      </c>
      <c r="AL110" s="6">
        <v>291576</v>
      </c>
      <c r="AM110" s="6">
        <v>280986</v>
      </c>
      <c r="AN110" s="6">
        <v>323012</v>
      </c>
      <c r="AO110" s="6">
        <v>327313</v>
      </c>
      <c r="AP110" s="6">
        <v>254317</v>
      </c>
      <c r="AQ110" s="6">
        <v>282503</v>
      </c>
      <c r="AR110" s="6">
        <v>293850</v>
      </c>
      <c r="AS110" s="6">
        <v>279392</v>
      </c>
      <c r="AT110" s="6">
        <v>280413</v>
      </c>
      <c r="AU110" s="6">
        <v>288255</v>
      </c>
      <c r="AV110" s="6">
        <v>300598</v>
      </c>
      <c r="AW110" s="6">
        <v>277479</v>
      </c>
      <c r="AX110" s="6">
        <v>297785</v>
      </c>
      <c r="AY110" s="6">
        <v>288114</v>
      </c>
      <c r="AZ110" s="6">
        <v>345713</v>
      </c>
      <c r="BA110" s="6">
        <v>333206</v>
      </c>
      <c r="BB110" s="6">
        <v>258196</v>
      </c>
      <c r="BC110" s="6">
        <v>309511</v>
      </c>
      <c r="BD110" s="6">
        <v>274811</v>
      </c>
      <c r="BE110" s="6">
        <v>282843</v>
      </c>
      <c r="BF110" s="6">
        <v>282422</v>
      </c>
      <c r="BG110" s="6">
        <v>300120</v>
      </c>
      <c r="BH110" s="6">
        <v>298501</v>
      </c>
      <c r="BI110" s="6">
        <v>281962</v>
      </c>
      <c r="BJ110" s="6">
        <v>304137</v>
      </c>
      <c r="BK110" s="6">
        <v>297958</v>
      </c>
      <c r="BL110" s="6">
        <v>348076</v>
      </c>
    </row>
    <row r="111" spans="1:64" x14ac:dyDescent="0.25">
      <c r="A111" s="1">
        <v>88</v>
      </c>
      <c r="B111" s="3" t="s">
        <v>121</v>
      </c>
      <c r="C111" s="3" t="s">
        <v>122</v>
      </c>
      <c r="D111" s="3" t="s">
        <v>126</v>
      </c>
      <c r="E111" s="6">
        <v>68168</v>
      </c>
      <c r="F111" s="6">
        <v>48658</v>
      </c>
      <c r="G111" s="6">
        <v>52805</v>
      </c>
      <c r="H111" s="6">
        <v>59923</v>
      </c>
      <c r="I111" s="6">
        <v>54512</v>
      </c>
      <c r="J111" s="6">
        <v>56868</v>
      </c>
      <c r="K111" s="6">
        <v>59976</v>
      </c>
      <c r="L111" s="6">
        <v>58582</v>
      </c>
      <c r="M111" s="6">
        <v>56898</v>
      </c>
      <c r="N111" s="6">
        <v>61717</v>
      </c>
      <c r="O111" s="6">
        <v>57919</v>
      </c>
      <c r="P111" s="6">
        <v>68345</v>
      </c>
      <c r="Q111" s="6">
        <v>71390</v>
      </c>
      <c r="R111" s="6">
        <v>57227</v>
      </c>
      <c r="S111" s="6">
        <v>64110</v>
      </c>
      <c r="T111" s="6">
        <v>64344</v>
      </c>
      <c r="U111" s="6">
        <v>63960</v>
      </c>
      <c r="V111" s="6">
        <v>65122</v>
      </c>
      <c r="W111" s="6">
        <v>70519</v>
      </c>
      <c r="X111" s="6">
        <v>62758</v>
      </c>
      <c r="Y111" s="6">
        <v>58704</v>
      </c>
      <c r="Z111" s="6">
        <v>65091</v>
      </c>
      <c r="AA111" s="6">
        <v>63345</v>
      </c>
      <c r="AB111" s="6">
        <v>74538</v>
      </c>
      <c r="AC111" s="6">
        <v>82395</v>
      </c>
      <c r="AD111" s="6">
        <v>62384</v>
      </c>
      <c r="AE111" s="6">
        <v>69979</v>
      </c>
      <c r="AF111" s="6">
        <v>62315</v>
      </c>
      <c r="AG111" s="6">
        <v>57209</v>
      </c>
      <c r="AH111" s="6">
        <v>59130</v>
      </c>
      <c r="AI111" s="6">
        <v>58659</v>
      </c>
      <c r="AJ111" s="6">
        <v>60767</v>
      </c>
      <c r="AK111" s="6">
        <v>58477</v>
      </c>
      <c r="AL111" s="6">
        <v>62172</v>
      </c>
      <c r="AM111" s="6">
        <v>63233</v>
      </c>
      <c r="AN111" s="6">
        <v>73248</v>
      </c>
      <c r="AO111" s="6">
        <v>78462</v>
      </c>
      <c r="AP111" s="6">
        <v>54795</v>
      </c>
      <c r="AQ111" s="6">
        <v>60510</v>
      </c>
      <c r="AR111" s="6">
        <v>68624</v>
      </c>
      <c r="AS111" s="6">
        <v>60466</v>
      </c>
      <c r="AT111" s="6">
        <v>63014</v>
      </c>
      <c r="AU111" s="6">
        <v>63543</v>
      </c>
      <c r="AV111" s="6">
        <v>60838</v>
      </c>
      <c r="AW111" s="6">
        <v>58922</v>
      </c>
      <c r="AX111" s="6">
        <v>62634</v>
      </c>
      <c r="AY111" s="6">
        <v>62167</v>
      </c>
      <c r="AZ111" s="6">
        <v>73724</v>
      </c>
      <c r="BA111" s="6">
        <v>80253</v>
      </c>
      <c r="BB111" s="6">
        <v>55564</v>
      </c>
      <c r="BC111" s="6">
        <v>69226</v>
      </c>
      <c r="BD111" s="6">
        <v>64450</v>
      </c>
      <c r="BE111" s="6">
        <v>62389</v>
      </c>
      <c r="BF111" s="6">
        <v>68446</v>
      </c>
      <c r="BG111" s="6">
        <v>67911</v>
      </c>
      <c r="BH111" s="6">
        <v>65794</v>
      </c>
      <c r="BI111" s="6">
        <v>63330</v>
      </c>
      <c r="BJ111" s="6">
        <v>67286</v>
      </c>
      <c r="BK111" s="6">
        <v>64718</v>
      </c>
      <c r="BL111" s="6">
        <v>77509</v>
      </c>
    </row>
    <row r="112" spans="1:64" s="10" customFormat="1" x14ac:dyDescent="0.25">
      <c r="A112" s="1">
        <v>12</v>
      </c>
      <c r="B112" s="3" t="s">
        <v>17</v>
      </c>
      <c r="C112" s="3" t="s">
        <v>18</v>
      </c>
      <c r="D112" s="3" t="s">
        <v>246</v>
      </c>
      <c r="E112" s="6">
        <v>362237</v>
      </c>
      <c r="F112" s="6">
        <v>252262</v>
      </c>
      <c r="G112" s="6">
        <v>300201</v>
      </c>
      <c r="H112" s="6">
        <v>329495</v>
      </c>
      <c r="I112" s="6">
        <v>294179</v>
      </c>
      <c r="J112" s="6">
        <v>321517</v>
      </c>
      <c r="K112" s="6">
        <v>305670</v>
      </c>
      <c r="L112" s="6">
        <v>318401</v>
      </c>
      <c r="M112" s="6">
        <v>280149</v>
      </c>
      <c r="N112" s="6">
        <v>330105</v>
      </c>
      <c r="O112" s="6">
        <v>308120</v>
      </c>
      <c r="P112" s="6">
        <v>368582</v>
      </c>
      <c r="Q112" s="6">
        <v>375502</v>
      </c>
      <c r="R112" s="6">
        <v>257233</v>
      </c>
      <c r="S112" s="6">
        <v>297150</v>
      </c>
      <c r="T112" s="6">
        <v>301306</v>
      </c>
      <c r="U112" s="6">
        <v>301266</v>
      </c>
      <c r="V112" s="6">
        <v>340581</v>
      </c>
      <c r="W112" s="6">
        <v>344740</v>
      </c>
      <c r="X112" s="6">
        <v>339370</v>
      </c>
      <c r="Y112" s="6">
        <v>299596</v>
      </c>
      <c r="Z112" s="6">
        <v>353666</v>
      </c>
      <c r="AA112" s="6">
        <v>327744</v>
      </c>
      <c r="AB112" s="6">
        <v>394374</v>
      </c>
      <c r="AC112" s="6">
        <v>393792</v>
      </c>
      <c r="AD112" s="6">
        <v>274556</v>
      </c>
      <c r="AE112" s="6">
        <v>330945</v>
      </c>
      <c r="AF112" s="6">
        <v>266336</v>
      </c>
      <c r="AG112" s="6">
        <v>294629</v>
      </c>
      <c r="AH112" s="6">
        <v>293574</v>
      </c>
      <c r="AI112" s="6">
        <v>308578</v>
      </c>
      <c r="AJ112" s="6">
        <v>297455</v>
      </c>
      <c r="AK112" s="6">
        <v>274606</v>
      </c>
      <c r="AL112" s="6">
        <v>319896</v>
      </c>
      <c r="AM112" s="6">
        <v>300527</v>
      </c>
      <c r="AN112" s="6">
        <v>358023</v>
      </c>
      <c r="AO112" s="6">
        <v>372876</v>
      </c>
      <c r="AP112" s="6">
        <v>249867</v>
      </c>
      <c r="AQ112" s="6">
        <v>289874</v>
      </c>
      <c r="AR112" s="6">
        <v>315202</v>
      </c>
      <c r="AS112" s="6">
        <v>277059</v>
      </c>
      <c r="AT112" s="6">
        <v>281300</v>
      </c>
      <c r="AU112" s="6">
        <v>286351</v>
      </c>
      <c r="AV112" s="6">
        <v>306861</v>
      </c>
      <c r="AW112" s="6">
        <v>268101</v>
      </c>
      <c r="AX112" s="6">
        <v>315299</v>
      </c>
      <c r="AY112" s="6">
        <v>295912</v>
      </c>
      <c r="AZ112" s="6">
        <v>373437</v>
      </c>
      <c r="BA112" s="6">
        <v>371073</v>
      </c>
      <c r="BB112" s="6">
        <v>220522</v>
      </c>
      <c r="BC112" s="6">
        <v>307081</v>
      </c>
      <c r="BD112" s="6">
        <v>269005</v>
      </c>
      <c r="BE112" s="6">
        <v>251936</v>
      </c>
      <c r="BF112" s="6">
        <v>293282</v>
      </c>
      <c r="BG112" s="6">
        <v>281950</v>
      </c>
      <c r="BH112" s="6">
        <v>234460</v>
      </c>
      <c r="BI112" s="6">
        <v>225968</v>
      </c>
      <c r="BJ112" s="6">
        <v>291074</v>
      </c>
      <c r="BK112" s="6">
        <v>285413</v>
      </c>
      <c r="BL112" s="6">
        <v>355037</v>
      </c>
    </row>
    <row r="113" spans="1:64" s="10" customFormat="1" x14ac:dyDescent="0.25">
      <c r="A113" s="1">
        <v>101</v>
      </c>
      <c r="B113" s="3" t="s">
        <v>151</v>
      </c>
      <c r="C113" s="3" t="s">
        <v>152</v>
      </c>
      <c r="D113" s="3" t="s">
        <v>153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25319</v>
      </c>
      <c r="T113" s="6">
        <v>41440</v>
      </c>
      <c r="U113" s="6">
        <v>41481</v>
      </c>
      <c r="V113" s="6">
        <v>45152</v>
      </c>
      <c r="W113" s="6">
        <v>43846</v>
      </c>
      <c r="X113" s="6">
        <v>44129</v>
      </c>
      <c r="Y113" s="6">
        <v>40819</v>
      </c>
      <c r="Z113" s="6">
        <v>43270</v>
      </c>
      <c r="AA113" s="6">
        <v>42316</v>
      </c>
      <c r="AB113" s="6">
        <v>53786</v>
      </c>
      <c r="AC113" s="6">
        <v>54698</v>
      </c>
      <c r="AD113" s="6">
        <v>37056</v>
      </c>
      <c r="AE113" s="6">
        <v>46528</v>
      </c>
      <c r="AF113" s="6">
        <v>38652</v>
      </c>
      <c r="AG113" s="6">
        <v>42022</v>
      </c>
      <c r="AH113" s="6">
        <v>45195</v>
      </c>
      <c r="AI113" s="6">
        <v>45056</v>
      </c>
      <c r="AJ113" s="6">
        <v>44723</v>
      </c>
      <c r="AK113" s="6">
        <v>40546</v>
      </c>
      <c r="AL113" s="6">
        <v>46189</v>
      </c>
      <c r="AM113" s="6">
        <v>44390</v>
      </c>
      <c r="AN113" s="6">
        <v>55099</v>
      </c>
      <c r="AO113" s="6">
        <v>60689</v>
      </c>
      <c r="AP113" s="6">
        <v>38780</v>
      </c>
      <c r="AQ113" s="6">
        <v>42491</v>
      </c>
      <c r="AR113" s="6">
        <v>46478</v>
      </c>
      <c r="AS113" s="6">
        <v>41809</v>
      </c>
      <c r="AT113" s="6">
        <v>44176</v>
      </c>
      <c r="AU113" s="6">
        <v>45016</v>
      </c>
      <c r="AV113" s="6">
        <v>42970</v>
      </c>
      <c r="AW113" s="6">
        <v>41729</v>
      </c>
      <c r="AX113" s="6">
        <v>45975</v>
      </c>
      <c r="AY113" s="6">
        <v>44569</v>
      </c>
      <c r="AZ113" s="6">
        <v>58057</v>
      </c>
      <c r="BA113" s="6">
        <v>60148</v>
      </c>
      <c r="BB113" s="6">
        <v>40511</v>
      </c>
      <c r="BC113" s="6">
        <v>48889</v>
      </c>
      <c r="BD113" s="6">
        <v>46666</v>
      </c>
      <c r="BE113" s="6">
        <v>46222</v>
      </c>
      <c r="BF113" s="6">
        <v>53995</v>
      </c>
      <c r="BG113" s="6">
        <v>50340</v>
      </c>
      <c r="BH113" s="6">
        <v>48233</v>
      </c>
      <c r="BI113" s="6">
        <v>46965</v>
      </c>
      <c r="BJ113" s="6">
        <v>51494</v>
      </c>
      <c r="BK113" s="6">
        <v>48311</v>
      </c>
      <c r="BL113" s="6">
        <v>60096</v>
      </c>
    </row>
    <row r="114" spans="1:64" x14ac:dyDescent="0.25">
      <c r="A114" s="1">
        <v>16</v>
      </c>
      <c r="B114" s="3" t="s">
        <v>21</v>
      </c>
      <c r="C114" s="3" t="s">
        <v>22</v>
      </c>
      <c r="D114" s="3" t="s">
        <v>25</v>
      </c>
      <c r="E114" s="6">
        <v>189984</v>
      </c>
      <c r="F114" s="6">
        <v>127266</v>
      </c>
      <c r="G114" s="6">
        <v>158867</v>
      </c>
      <c r="H114" s="6">
        <v>164345</v>
      </c>
      <c r="I114" s="6">
        <v>140092</v>
      </c>
      <c r="J114" s="6">
        <v>157657</v>
      </c>
      <c r="K114" s="6">
        <v>148511</v>
      </c>
      <c r="L114" s="6">
        <v>160333</v>
      </c>
      <c r="M114" s="6">
        <v>135093</v>
      </c>
      <c r="N114" s="6">
        <v>153748</v>
      </c>
      <c r="O114" s="6">
        <v>157391</v>
      </c>
      <c r="P114" s="6">
        <v>186541</v>
      </c>
      <c r="Q114" s="6">
        <v>203910</v>
      </c>
      <c r="R114" s="6">
        <v>148219</v>
      </c>
      <c r="S114" s="6">
        <v>156864</v>
      </c>
      <c r="T114" s="6">
        <v>166490</v>
      </c>
      <c r="U114" s="6">
        <v>160985</v>
      </c>
      <c r="V114" s="6">
        <v>175156</v>
      </c>
      <c r="W114" s="6">
        <v>172482</v>
      </c>
      <c r="X114" s="6">
        <v>173384</v>
      </c>
      <c r="Y114" s="6">
        <v>149400</v>
      </c>
      <c r="Z114" s="6">
        <v>171616</v>
      </c>
      <c r="AA114" s="6">
        <v>177095</v>
      </c>
      <c r="AB114" s="6">
        <v>205960</v>
      </c>
      <c r="AC114" s="6">
        <v>224862</v>
      </c>
      <c r="AD114" s="6">
        <v>161503</v>
      </c>
      <c r="AE114" s="6">
        <v>193958</v>
      </c>
      <c r="AF114" s="6">
        <v>149624</v>
      </c>
      <c r="AG114" s="6">
        <v>170995</v>
      </c>
      <c r="AH114" s="6">
        <v>168219</v>
      </c>
      <c r="AI114" s="6">
        <v>198028</v>
      </c>
      <c r="AJ114" s="6">
        <v>173502</v>
      </c>
      <c r="AK114" s="6">
        <v>154640</v>
      </c>
      <c r="AL114" s="6">
        <v>170667</v>
      </c>
      <c r="AM114" s="6">
        <v>159063</v>
      </c>
      <c r="AN114" s="6">
        <v>189124</v>
      </c>
      <c r="AO114" s="6">
        <v>215866</v>
      </c>
      <c r="AP114" s="6">
        <v>159700</v>
      </c>
      <c r="AQ114" s="6">
        <v>161732</v>
      </c>
      <c r="AR114" s="6">
        <v>179367</v>
      </c>
      <c r="AS114" s="6">
        <v>150962</v>
      </c>
      <c r="AT114" s="6">
        <v>169948</v>
      </c>
      <c r="AU114" s="6">
        <v>183279</v>
      </c>
      <c r="AV114" s="6">
        <v>168585</v>
      </c>
      <c r="AW114" s="6">
        <v>156620</v>
      </c>
      <c r="AX114" s="6">
        <v>179407</v>
      </c>
      <c r="AY114" s="6">
        <v>167782</v>
      </c>
      <c r="AZ114" s="6">
        <v>201794</v>
      </c>
      <c r="BA114" s="6">
        <v>214778</v>
      </c>
      <c r="BB114" s="6">
        <v>159335</v>
      </c>
      <c r="BC114" s="6">
        <v>191824</v>
      </c>
      <c r="BD114" s="6">
        <v>157748</v>
      </c>
      <c r="BE114" s="6">
        <v>154361</v>
      </c>
      <c r="BF114" s="6">
        <v>176143</v>
      </c>
      <c r="BG114" s="6">
        <v>201883</v>
      </c>
      <c r="BH114" s="6">
        <v>184915</v>
      </c>
      <c r="BI114" s="6">
        <v>163986</v>
      </c>
      <c r="BJ114" s="6">
        <v>179552</v>
      </c>
      <c r="BK114" s="6">
        <v>181665</v>
      </c>
      <c r="BL114" s="6">
        <v>220649</v>
      </c>
    </row>
    <row r="115" spans="1:64" x14ac:dyDescent="0.25">
      <c r="A115" s="1">
        <v>23</v>
      </c>
      <c r="B115" s="3" t="s">
        <v>31</v>
      </c>
      <c r="C115" s="3" t="s">
        <v>32</v>
      </c>
      <c r="D115" s="3" t="s">
        <v>247</v>
      </c>
      <c r="E115" s="6">
        <v>122452</v>
      </c>
      <c r="F115" s="6">
        <v>76403</v>
      </c>
      <c r="G115" s="6">
        <v>83089</v>
      </c>
      <c r="H115" s="6">
        <v>99134</v>
      </c>
      <c r="I115" s="6">
        <v>83538</v>
      </c>
      <c r="J115" s="6">
        <v>90961</v>
      </c>
      <c r="K115" s="6">
        <v>92947</v>
      </c>
      <c r="L115" s="6">
        <v>96537</v>
      </c>
      <c r="M115" s="6">
        <v>85597</v>
      </c>
      <c r="N115" s="6">
        <v>98194</v>
      </c>
      <c r="O115" s="6">
        <v>91388</v>
      </c>
      <c r="P115" s="6">
        <v>130478</v>
      </c>
      <c r="Q115" s="6">
        <v>132970</v>
      </c>
      <c r="R115" s="6">
        <v>85744</v>
      </c>
      <c r="S115" s="6">
        <v>95416</v>
      </c>
      <c r="T115" s="6">
        <v>100651</v>
      </c>
      <c r="U115" s="6">
        <v>91511</v>
      </c>
      <c r="V115" s="6">
        <v>104996</v>
      </c>
      <c r="W115" s="6">
        <v>105791</v>
      </c>
      <c r="X115" s="6">
        <v>107426</v>
      </c>
      <c r="Y115" s="6">
        <v>94925</v>
      </c>
      <c r="Z115" s="6">
        <v>113694</v>
      </c>
      <c r="AA115" s="6">
        <v>107350</v>
      </c>
      <c r="AB115" s="6">
        <v>150715</v>
      </c>
      <c r="AC115" s="6">
        <v>157971</v>
      </c>
      <c r="AD115" s="6">
        <v>92581</v>
      </c>
      <c r="AE115" s="6">
        <v>126686</v>
      </c>
      <c r="AF115" s="6">
        <v>92112</v>
      </c>
      <c r="AG115" s="6">
        <v>102676</v>
      </c>
      <c r="AH115" s="6">
        <v>106902</v>
      </c>
      <c r="AI115" s="6">
        <v>107472</v>
      </c>
      <c r="AJ115" s="6">
        <v>117410</v>
      </c>
      <c r="AK115" s="6">
        <v>98061</v>
      </c>
      <c r="AL115" s="6">
        <v>114767</v>
      </c>
      <c r="AM115" s="6">
        <v>112728</v>
      </c>
      <c r="AN115" s="6">
        <v>146006</v>
      </c>
      <c r="AO115" s="6">
        <v>154334</v>
      </c>
      <c r="AP115" s="6">
        <v>92813</v>
      </c>
      <c r="AQ115" s="6">
        <v>101776</v>
      </c>
      <c r="AR115" s="6">
        <v>121596</v>
      </c>
      <c r="AS115" s="6">
        <v>102885</v>
      </c>
      <c r="AT115" s="6">
        <v>119996</v>
      </c>
      <c r="AU115" s="6">
        <v>120904</v>
      </c>
      <c r="AV115" s="6">
        <v>120322</v>
      </c>
      <c r="AW115" s="6">
        <v>103492</v>
      </c>
      <c r="AX115" s="6">
        <v>121525</v>
      </c>
      <c r="AY115" s="6">
        <v>116671</v>
      </c>
      <c r="AZ115" s="6">
        <v>159059</v>
      </c>
      <c r="BA115" s="6">
        <v>169702</v>
      </c>
      <c r="BB115" s="6">
        <v>99549</v>
      </c>
      <c r="BC115" s="6">
        <v>126966</v>
      </c>
      <c r="BD115" s="6">
        <v>110771</v>
      </c>
      <c r="BE115" s="6">
        <v>106053</v>
      </c>
      <c r="BF115" s="6">
        <v>122674</v>
      </c>
      <c r="BG115" s="6">
        <v>128324</v>
      </c>
      <c r="BH115" s="6">
        <v>127456</v>
      </c>
      <c r="BI115" s="6">
        <v>0</v>
      </c>
      <c r="BJ115" s="6">
        <v>0</v>
      </c>
      <c r="BK115" s="6">
        <v>0</v>
      </c>
      <c r="BL115" s="6">
        <v>0</v>
      </c>
    </row>
    <row r="116" spans="1:64" x14ac:dyDescent="0.25">
      <c r="A116" s="8">
        <v>92</v>
      </c>
      <c r="B116" s="8" t="s">
        <v>129</v>
      </c>
      <c r="C116" s="8" t="s">
        <v>130</v>
      </c>
      <c r="D116" s="8" t="s">
        <v>132</v>
      </c>
      <c r="E116" s="6">
        <v>109922</v>
      </c>
      <c r="F116" s="6">
        <v>76872</v>
      </c>
      <c r="G116" s="6">
        <v>87437</v>
      </c>
      <c r="H116" s="6">
        <v>94072</v>
      </c>
      <c r="I116" s="6">
        <v>83449</v>
      </c>
      <c r="J116" s="6">
        <v>85327</v>
      </c>
      <c r="K116" s="6">
        <v>86722</v>
      </c>
      <c r="L116" s="6">
        <v>84510</v>
      </c>
      <c r="M116" s="6">
        <v>81073</v>
      </c>
      <c r="N116" s="6">
        <v>88010</v>
      </c>
      <c r="O116" s="6">
        <v>85379</v>
      </c>
      <c r="P116" s="6">
        <v>101308</v>
      </c>
      <c r="Q116" s="6">
        <v>107927</v>
      </c>
      <c r="R116" s="6">
        <v>78016</v>
      </c>
      <c r="S116" s="6">
        <v>89909</v>
      </c>
      <c r="T116" s="6">
        <v>90481</v>
      </c>
      <c r="U116" s="6">
        <v>87599</v>
      </c>
      <c r="V116" s="6">
        <v>95365</v>
      </c>
      <c r="W116" s="6">
        <v>93395</v>
      </c>
      <c r="X116" s="6">
        <v>92737</v>
      </c>
      <c r="Y116" s="6">
        <v>89554</v>
      </c>
      <c r="Z116" s="6">
        <v>98071</v>
      </c>
      <c r="AA116" s="6">
        <v>94752</v>
      </c>
      <c r="AB116" s="6">
        <v>116088</v>
      </c>
      <c r="AC116" s="6">
        <v>123889</v>
      </c>
      <c r="AD116" s="6">
        <v>89737</v>
      </c>
      <c r="AE116" s="6">
        <v>105636</v>
      </c>
      <c r="AF116" s="6">
        <v>85919</v>
      </c>
      <c r="AG116" s="6">
        <v>92443</v>
      </c>
      <c r="AH116" s="6">
        <v>96542</v>
      </c>
      <c r="AI116" s="6">
        <v>94673</v>
      </c>
      <c r="AJ116" s="6">
        <v>95120</v>
      </c>
      <c r="AK116" s="6">
        <v>89786</v>
      </c>
      <c r="AL116" s="6">
        <v>97696</v>
      </c>
      <c r="AM116" s="6">
        <v>94204</v>
      </c>
      <c r="AN116" s="6">
        <v>110439</v>
      </c>
      <c r="AO116" s="6">
        <v>118005</v>
      </c>
      <c r="AP116" s="6">
        <v>83435</v>
      </c>
      <c r="AQ116" s="6">
        <v>92798</v>
      </c>
      <c r="AR116" s="6">
        <v>101585</v>
      </c>
      <c r="AS116" s="6">
        <v>91764</v>
      </c>
      <c r="AT116" s="6">
        <v>96912</v>
      </c>
      <c r="AU116" s="6">
        <v>97746</v>
      </c>
      <c r="AV116" s="6">
        <v>67343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</row>
    <row r="117" spans="1:64" s="10" customFormat="1" x14ac:dyDescent="0.25">
      <c r="A117" s="8">
        <v>120</v>
      </c>
      <c r="B117" s="8" t="s">
        <v>177</v>
      </c>
      <c r="C117" s="8" t="s">
        <v>178</v>
      </c>
      <c r="D117" s="8" t="s">
        <v>132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26016</v>
      </c>
      <c r="AW117" s="6">
        <v>84888</v>
      </c>
      <c r="AX117" s="6">
        <v>90684</v>
      </c>
      <c r="AY117" s="6">
        <v>90624</v>
      </c>
      <c r="AZ117" s="6">
        <v>108626</v>
      </c>
      <c r="BA117" s="6">
        <v>117549</v>
      </c>
      <c r="BB117" s="6">
        <v>79774</v>
      </c>
      <c r="BC117" s="6">
        <v>96913</v>
      </c>
      <c r="BD117" s="6">
        <v>86736</v>
      </c>
      <c r="BE117" s="6">
        <v>82801</v>
      </c>
      <c r="BF117" s="6">
        <v>81844</v>
      </c>
      <c r="BG117" s="6">
        <v>91719</v>
      </c>
      <c r="BH117" s="6">
        <v>92291</v>
      </c>
      <c r="BI117" s="6">
        <v>85496</v>
      </c>
      <c r="BJ117" s="6">
        <v>93664</v>
      </c>
      <c r="BK117" s="6">
        <v>90131</v>
      </c>
      <c r="BL117" s="6">
        <v>108378</v>
      </c>
    </row>
    <row r="118" spans="1:64" s="10" customFormat="1" x14ac:dyDescent="0.25">
      <c r="A118" s="1">
        <v>125</v>
      </c>
      <c r="B118" s="3" t="s">
        <v>189</v>
      </c>
      <c r="C118" s="3" t="s">
        <v>190</v>
      </c>
      <c r="D118" s="3" t="s">
        <v>191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>
        <v>0</v>
      </c>
      <c r="AD118" s="6">
        <v>0</v>
      </c>
      <c r="AE118" s="6">
        <v>0</v>
      </c>
      <c r="AF118" s="6">
        <v>0</v>
      </c>
      <c r="AG118" s="6">
        <v>36945</v>
      </c>
      <c r="AH118" s="6">
        <v>48376</v>
      </c>
      <c r="AI118" s="6">
        <v>47773</v>
      </c>
      <c r="AJ118" s="6">
        <v>50120</v>
      </c>
      <c r="AK118" s="6">
        <v>47236</v>
      </c>
      <c r="AL118" s="6">
        <v>49677</v>
      </c>
      <c r="AM118" s="6">
        <v>48150</v>
      </c>
      <c r="AN118" s="6">
        <v>63978</v>
      </c>
      <c r="AO118" s="6">
        <v>60565</v>
      </c>
      <c r="AP118" s="6">
        <v>46204</v>
      </c>
      <c r="AQ118" s="6">
        <v>51965</v>
      </c>
      <c r="AR118" s="6">
        <v>58820</v>
      </c>
      <c r="AS118" s="6">
        <v>49914</v>
      </c>
      <c r="AT118" s="6">
        <v>50080</v>
      </c>
      <c r="AU118" s="6">
        <v>52109</v>
      </c>
      <c r="AV118" s="6">
        <v>49058</v>
      </c>
      <c r="AW118" s="6">
        <v>46641</v>
      </c>
      <c r="AX118" s="6">
        <v>49037</v>
      </c>
      <c r="AY118" s="6">
        <v>47687</v>
      </c>
      <c r="AZ118" s="6">
        <v>61525</v>
      </c>
      <c r="BA118" s="6">
        <v>61769</v>
      </c>
      <c r="BB118" s="6">
        <v>24706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</row>
    <row r="119" spans="1:64" x14ac:dyDescent="0.25">
      <c r="A119" s="1">
        <v>25</v>
      </c>
      <c r="B119" s="3" t="s">
        <v>37</v>
      </c>
      <c r="C119" s="3" t="s">
        <v>38</v>
      </c>
      <c r="D119" s="3" t="s">
        <v>40</v>
      </c>
      <c r="E119" s="6">
        <v>666799</v>
      </c>
      <c r="F119" s="6">
        <v>631797</v>
      </c>
      <c r="G119" s="6">
        <v>711972</v>
      </c>
      <c r="H119" s="6">
        <v>683512</v>
      </c>
      <c r="I119" s="6">
        <v>704336</v>
      </c>
      <c r="J119" s="6">
        <v>667137</v>
      </c>
      <c r="K119" s="6">
        <v>713453</v>
      </c>
      <c r="L119" s="6">
        <v>729459</v>
      </c>
      <c r="M119" s="6">
        <v>701393</v>
      </c>
      <c r="N119" s="6">
        <v>738036</v>
      </c>
      <c r="O119" s="6">
        <v>708675</v>
      </c>
      <c r="P119" s="6">
        <v>787726</v>
      </c>
      <c r="Q119" s="6">
        <v>696241</v>
      </c>
      <c r="R119" s="6">
        <v>664839</v>
      </c>
      <c r="S119" s="6">
        <v>741315</v>
      </c>
      <c r="T119" s="6">
        <v>696045</v>
      </c>
      <c r="U119" s="6">
        <v>743837</v>
      </c>
      <c r="V119" s="6">
        <v>732072</v>
      </c>
      <c r="W119" s="6">
        <v>771025</v>
      </c>
      <c r="X119" s="6">
        <v>771028</v>
      </c>
      <c r="Y119" s="6">
        <v>736352</v>
      </c>
      <c r="Z119" s="6">
        <v>771395</v>
      </c>
      <c r="AA119" s="6">
        <v>733881</v>
      </c>
      <c r="AB119" s="6">
        <v>819219</v>
      </c>
      <c r="AC119" s="6">
        <v>714286</v>
      </c>
      <c r="AD119" s="6">
        <v>711530</v>
      </c>
      <c r="AE119" s="6">
        <v>740442</v>
      </c>
      <c r="AF119" s="6">
        <v>735962</v>
      </c>
      <c r="AG119" s="6">
        <v>760224</v>
      </c>
      <c r="AH119" s="6">
        <v>739632</v>
      </c>
      <c r="AI119" s="6">
        <v>750798</v>
      </c>
      <c r="AJ119" s="6">
        <v>770933</v>
      </c>
      <c r="AK119" s="6">
        <v>746908</v>
      </c>
      <c r="AL119" s="6">
        <v>767333</v>
      </c>
      <c r="AM119" s="6">
        <v>743670</v>
      </c>
      <c r="AN119" s="6">
        <v>813290</v>
      </c>
      <c r="AO119" s="6">
        <v>728825</v>
      </c>
      <c r="AP119" s="6">
        <v>694251</v>
      </c>
      <c r="AQ119" s="6">
        <v>777369</v>
      </c>
      <c r="AR119" s="6">
        <v>752116</v>
      </c>
      <c r="AS119" s="6">
        <v>777140</v>
      </c>
      <c r="AT119" s="6">
        <v>759521</v>
      </c>
      <c r="AU119" s="6">
        <v>786711</v>
      </c>
      <c r="AV119" s="6">
        <v>786207</v>
      </c>
      <c r="AW119" s="6">
        <v>749332</v>
      </c>
      <c r="AX119" s="6">
        <v>781785</v>
      </c>
      <c r="AY119" s="6">
        <v>771280</v>
      </c>
      <c r="AZ119" s="6">
        <v>847537</v>
      </c>
      <c r="BA119" s="6">
        <v>743777</v>
      </c>
      <c r="BB119" s="6">
        <v>708900</v>
      </c>
      <c r="BC119" s="6">
        <v>792520</v>
      </c>
      <c r="BD119" s="6">
        <v>728417</v>
      </c>
      <c r="BE119" s="6">
        <v>804820</v>
      </c>
      <c r="BF119" s="6">
        <v>796714</v>
      </c>
      <c r="BG119" s="6">
        <v>799442</v>
      </c>
      <c r="BH119" s="6">
        <v>819476</v>
      </c>
      <c r="BI119" s="6">
        <v>791831</v>
      </c>
      <c r="BJ119" s="6">
        <v>817909</v>
      </c>
      <c r="BK119" s="6">
        <v>797097</v>
      </c>
      <c r="BL119" s="6">
        <v>883196</v>
      </c>
    </row>
    <row r="120" spans="1:64" x14ac:dyDescent="0.25">
      <c r="A120" s="1">
        <v>126</v>
      </c>
      <c r="B120" s="3" t="s">
        <v>189</v>
      </c>
      <c r="C120" s="3" t="s">
        <v>190</v>
      </c>
      <c r="D120" s="3" t="s">
        <v>192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19886</v>
      </c>
      <c r="AL120" s="6">
        <v>65878</v>
      </c>
      <c r="AM120" s="6">
        <v>63965</v>
      </c>
      <c r="AN120" s="6">
        <v>80973</v>
      </c>
      <c r="AO120" s="6">
        <v>73864</v>
      </c>
      <c r="AP120" s="6">
        <v>30559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</row>
    <row r="121" spans="1:64" x14ac:dyDescent="0.25">
      <c r="A121" s="1">
        <v>102</v>
      </c>
      <c r="B121" s="3" t="s">
        <v>154</v>
      </c>
      <c r="C121" s="3" t="s">
        <v>155</v>
      </c>
      <c r="D121" s="3" t="s">
        <v>156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156582</v>
      </c>
      <c r="AA121" s="6">
        <v>151580</v>
      </c>
      <c r="AB121" s="6">
        <v>176516</v>
      </c>
      <c r="AC121" s="6">
        <v>165769</v>
      </c>
      <c r="AD121" s="6">
        <v>137965</v>
      </c>
      <c r="AE121" s="6">
        <v>152381</v>
      </c>
      <c r="AF121" s="6">
        <v>139862</v>
      </c>
      <c r="AG121" s="6">
        <v>144753</v>
      </c>
      <c r="AH121" s="6">
        <v>148031</v>
      </c>
      <c r="AI121" s="6">
        <v>155475</v>
      </c>
      <c r="AJ121" s="6">
        <v>152476</v>
      </c>
      <c r="AK121" s="6">
        <v>145218</v>
      </c>
      <c r="AL121" s="6">
        <v>149761</v>
      </c>
      <c r="AM121" s="6">
        <v>145671</v>
      </c>
      <c r="AN121" s="6">
        <v>171852</v>
      </c>
      <c r="AO121" s="6">
        <v>166336</v>
      </c>
      <c r="AP121" s="6">
        <v>132834</v>
      </c>
      <c r="AQ121" s="6">
        <v>142048</v>
      </c>
      <c r="AR121" s="6">
        <v>144619</v>
      </c>
      <c r="AS121" s="6">
        <v>139160</v>
      </c>
      <c r="AT121" s="6">
        <v>144687</v>
      </c>
      <c r="AU121" s="6">
        <v>150371</v>
      </c>
      <c r="AV121" s="6">
        <v>147206</v>
      </c>
      <c r="AW121" s="6">
        <v>140547</v>
      </c>
      <c r="AX121" s="6">
        <v>153579</v>
      </c>
      <c r="AY121" s="6">
        <v>149846</v>
      </c>
      <c r="AZ121" s="6">
        <v>102704</v>
      </c>
      <c r="BA121" s="6">
        <v>112962</v>
      </c>
      <c r="BB121" s="6">
        <v>114889</v>
      </c>
      <c r="BC121" s="6">
        <v>137239</v>
      </c>
      <c r="BD121" s="6">
        <v>132045</v>
      </c>
      <c r="BE121" s="6">
        <v>131497</v>
      </c>
      <c r="BF121" s="6">
        <v>138800</v>
      </c>
      <c r="BG121" s="6">
        <v>142366</v>
      </c>
      <c r="BH121" s="6">
        <v>141883</v>
      </c>
      <c r="BI121" s="6">
        <v>130827</v>
      </c>
      <c r="BJ121" s="6">
        <v>138482</v>
      </c>
      <c r="BK121" s="6">
        <v>137159</v>
      </c>
      <c r="BL121" s="6">
        <v>163816</v>
      </c>
    </row>
    <row r="122" spans="1:64" x14ac:dyDescent="0.25">
      <c r="A122" s="1">
        <v>94</v>
      </c>
      <c r="B122" s="3" t="s">
        <v>133</v>
      </c>
      <c r="C122" s="3" t="s">
        <v>134</v>
      </c>
      <c r="D122" s="3" t="s">
        <v>136</v>
      </c>
      <c r="E122" s="6">
        <v>160910</v>
      </c>
      <c r="F122" s="6">
        <v>114848</v>
      </c>
      <c r="G122" s="6">
        <v>124519</v>
      </c>
      <c r="H122" s="6">
        <v>133683</v>
      </c>
      <c r="I122" s="6">
        <v>148586</v>
      </c>
      <c r="J122" s="6">
        <v>136597</v>
      </c>
      <c r="K122" s="6">
        <v>131562</v>
      </c>
      <c r="L122" s="6">
        <v>129601</v>
      </c>
      <c r="M122" s="6">
        <v>121013</v>
      </c>
      <c r="N122" s="6">
        <v>131421</v>
      </c>
      <c r="O122" s="6">
        <v>145383</v>
      </c>
      <c r="P122" s="6">
        <v>146643</v>
      </c>
      <c r="Q122" s="6">
        <v>160403</v>
      </c>
      <c r="R122" s="6">
        <v>114062</v>
      </c>
      <c r="S122" s="6">
        <v>122232</v>
      </c>
      <c r="T122" s="6">
        <v>128569</v>
      </c>
      <c r="U122" s="6">
        <v>129790</v>
      </c>
      <c r="V122" s="6">
        <v>132390</v>
      </c>
      <c r="W122" s="6">
        <v>133572</v>
      </c>
      <c r="X122" s="6">
        <v>131409</v>
      </c>
      <c r="Y122" s="6">
        <v>123353</v>
      </c>
      <c r="Z122" s="6">
        <v>135908</v>
      </c>
      <c r="AA122" s="6">
        <v>132348</v>
      </c>
      <c r="AB122" s="6">
        <v>158275</v>
      </c>
      <c r="AC122" s="6">
        <v>171327</v>
      </c>
      <c r="AD122" s="6">
        <v>121789</v>
      </c>
      <c r="AE122" s="6">
        <v>139172</v>
      </c>
      <c r="AF122" s="6">
        <v>72496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</row>
    <row r="123" spans="1:64" x14ac:dyDescent="0.25">
      <c r="A123" s="1">
        <v>44</v>
      </c>
      <c r="B123" s="3" t="s">
        <v>59</v>
      </c>
      <c r="C123" s="3" t="s">
        <v>60</v>
      </c>
      <c r="D123" s="3" t="s">
        <v>67</v>
      </c>
      <c r="E123" s="6">
        <v>93451</v>
      </c>
      <c r="F123" s="6">
        <v>77809</v>
      </c>
      <c r="G123" s="6">
        <v>87470</v>
      </c>
      <c r="H123" s="6">
        <v>88553</v>
      </c>
      <c r="I123" s="6">
        <v>87346</v>
      </c>
      <c r="J123" s="6">
        <v>86488</v>
      </c>
      <c r="K123" s="6">
        <v>90639</v>
      </c>
      <c r="L123" s="6">
        <v>92447</v>
      </c>
      <c r="M123" s="6">
        <v>86106</v>
      </c>
      <c r="N123" s="6">
        <v>92122</v>
      </c>
      <c r="O123" s="6">
        <v>91221</v>
      </c>
      <c r="P123" s="6">
        <v>108142</v>
      </c>
      <c r="Q123" s="6">
        <v>102355</v>
      </c>
      <c r="R123" s="6">
        <v>84506</v>
      </c>
      <c r="S123" s="6">
        <v>97570</v>
      </c>
      <c r="T123" s="6">
        <v>96182</v>
      </c>
      <c r="U123" s="6">
        <v>98734</v>
      </c>
      <c r="V123" s="6">
        <v>103800</v>
      </c>
      <c r="W123" s="6">
        <v>110010</v>
      </c>
      <c r="X123" s="6">
        <v>109609</v>
      </c>
      <c r="Y123" s="6">
        <v>98865</v>
      </c>
      <c r="Z123" s="6">
        <v>106107</v>
      </c>
      <c r="AA123" s="6">
        <v>106340</v>
      </c>
      <c r="AB123" s="6">
        <v>124717</v>
      </c>
      <c r="AC123" s="6">
        <v>118214</v>
      </c>
      <c r="AD123" s="6">
        <v>95641</v>
      </c>
      <c r="AE123" s="6">
        <v>109865</v>
      </c>
      <c r="AF123" s="6">
        <v>98059</v>
      </c>
      <c r="AG123" s="6">
        <v>108318</v>
      </c>
      <c r="AH123" s="6">
        <v>107063</v>
      </c>
      <c r="AI123" s="6">
        <v>121019</v>
      </c>
      <c r="AJ123" s="6">
        <v>114292</v>
      </c>
      <c r="AK123" s="6">
        <v>104970</v>
      </c>
      <c r="AL123" s="6">
        <v>111438</v>
      </c>
      <c r="AM123" s="6">
        <v>110209</v>
      </c>
      <c r="AN123" s="6">
        <v>128032</v>
      </c>
      <c r="AO123" s="6">
        <v>122520</v>
      </c>
      <c r="AP123" s="6">
        <v>97809</v>
      </c>
      <c r="AQ123" s="6">
        <v>110543</v>
      </c>
      <c r="AR123" s="6">
        <v>113450</v>
      </c>
      <c r="AS123" s="6">
        <v>111858</v>
      </c>
      <c r="AT123" s="6">
        <v>114092</v>
      </c>
      <c r="AU123" s="6">
        <v>122011</v>
      </c>
      <c r="AV123" s="6">
        <v>118558</v>
      </c>
      <c r="AW123" s="6">
        <v>107395</v>
      </c>
      <c r="AX123" s="6">
        <v>114427</v>
      </c>
      <c r="AY123" s="6">
        <v>115497</v>
      </c>
      <c r="AZ123" s="6">
        <v>134143</v>
      </c>
      <c r="BA123" s="6">
        <v>126205</v>
      </c>
      <c r="BB123" s="6">
        <v>100832</v>
      </c>
      <c r="BC123" s="6">
        <v>116331</v>
      </c>
      <c r="BD123" s="6">
        <v>110936</v>
      </c>
      <c r="BE123" s="6">
        <v>109066</v>
      </c>
      <c r="BF123" s="6">
        <v>112361</v>
      </c>
      <c r="BG123" s="6">
        <v>121203</v>
      </c>
      <c r="BH123" s="6">
        <v>118181</v>
      </c>
      <c r="BI123" s="6">
        <v>109342</v>
      </c>
      <c r="BJ123" s="6">
        <v>117288</v>
      </c>
      <c r="BK123" s="6">
        <v>0</v>
      </c>
      <c r="BL123" s="6">
        <v>0</v>
      </c>
    </row>
    <row r="124" spans="1:64" x14ac:dyDescent="0.25">
      <c r="A124" s="1">
        <v>75</v>
      </c>
      <c r="B124" s="3" t="s">
        <v>100</v>
      </c>
      <c r="C124" s="3" t="s">
        <v>101</v>
      </c>
      <c r="D124" s="3" t="s">
        <v>107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82971</v>
      </c>
      <c r="R124" s="6">
        <v>249420</v>
      </c>
      <c r="S124" s="6">
        <v>277634</v>
      </c>
      <c r="T124" s="6">
        <v>278932</v>
      </c>
      <c r="U124" s="6">
        <v>282120</v>
      </c>
      <c r="V124" s="6">
        <v>279046</v>
      </c>
      <c r="W124" s="6">
        <v>297729</v>
      </c>
      <c r="X124" s="6">
        <v>291712</v>
      </c>
      <c r="Y124" s="6">
        <v>288143</v>
      </c>
      <c r="Z124" s="6">
        <v>303004</v>
      </c>
      <c r="AA124" s="6">
        <v>289923</v>
      </c>
      <c r="AB124" s="6">
        <v>324966</v>
      </c>
      <c r="AC124" s="6">
        <v>306516</v>
      </c>
      <c r="AD124" s="6">
        <v>272304</v>
      </c>
      <c r="AE124" s="6">
        <v>300536</v>
      </c>
      <c r="AF124" s="6">
        <v>286384</v>
      </c>
      <c r="AG124" s="6">
        <v>297518</v>
      </c>
      <c r="AH124" s="6">
        <v>294415</v>
      </c>
      <c r="AI124" s="6">
        <v>304546</v>
      </c>
      <c r="AJ124" s="6">
        <v>311820</v>
      </c>
      <c r="AK124" s="6">
        <v>302202</v>
      </c>
      <c r="AL124" s="6">
        <v>314346</v>
      </c>
      <c r="AM124" s="6">
        <v>307853</v>
      </c>
      <c r="AN124" s="6">
        <v>350405</v>
      </c>
      <c r="AO124" s="6">
        <v>323070</v>
      </c>
      <c r="AP124" s="6">
        <v>295273</v>
      </c>
      <c r="AQ124" s="6">
        <v>319915</v>
      </c>
      <c r="AR124" s="6">
        <v>313943</v>
      </c>
      <c r="AS124" s="6">
        <v>312815</v>
      </c>
      <c r="AT124" s="6">
        <v>308212</v>
      </c>
      <c r="AU124" s="6">
        <v>318603</v>
      </c>
      <c r="AV124" s="6">
        <v>318107</v>
      </c>
      <c r="AW124" s="6">
        <v>305225</v>
      </c>
      <c r="AX124" s="6">
        <v>315893</v>
      </c>
      <c r="AY124" s="6">
        <v>310389</v>
      </c>
      <c r="AZ124" s="6">
        <v>344531</v>
      </c>
      <c r="BA124" s="6">
        <v>321140</v>
      </c>
      <c r="BB124" s="6">
        <v>286541</v>
      </c>
      <c r="BC124" s="6">
        <v>321151</v>
      </c>
      <c r="BD124" s="6">
        <v>301752</v>
      </c>
      <c r="BE124" s="6">
        <v>307127</v>
      </c>
      <c r="BF124" s="6">
        <v>294885</v>
      </c>
      <c r="BG124" s="6">
        <v>308236</v>
      </c>
      <c r="BH124" s="6">
        <v>309329</v>
      </c>
      <c r="BI124" s="6">
        <v>299989</v>
      </c>
      <c r="BJ124" s="6">
        <v>315034</v>
      </c>
      <c r="BK124" s="6">
        <v>309205</v>
      </c>
      <c r="BL124" s="6">
        <v>338107</v>
      </c>
    </row>
    <row r="125" spans="1:64" x14ac:dyDescent="0.25">
      <c r="A125" s="1">
        <v>156</v>
      </c>
      <c r="B125" s="3" t="s">
        <v>228</v>
      </c>
      <c r="C125" s="3" t="s">
        <v>229</v>
      </c>
      <c r="D125" s="3" t="s">
        <v>234</v>
      </c>
      <c r="E125" s="6">
        <v>130422</v>
      </c>
      <c r="F125" s="6">
        <v>74391</v>
      </c>
      <c r="G125" s="6">
        <v>82763</v>
      </c>
      <c r="H125" s="6">
        <v>104867</v>
      </c>
      <c r="I125" s="6">
        <v>104939</v>
      </c>
      <c r="J125" s="6">
        <v>104651</v>
      </c>
      <c r="K125" s="6">
        <v>89147</v>
      </c>
      <c r="L125" s="6">
        <v>92089</v>
      </c>
      <c r="M125" s="6">
        <v>77138</v>
      </c>
      <c r="N125" s="6">
        <v>96417</v>
      </c>
      <c r="O125" s="6">
        <v>96270</v>
      </c>
      <c r="P125" s="6">
        <v>118637</v>
      </c>
      <c r="Q125" s="6">
        <v>135705</v>
      </c>
      <c r="R125" s="6">
        <v>72943</v>
      </c>
      <c r="S125" s="6">
        <v>86186</v>
      </c>
      <c r="T125" s="6">
        <v>96750</v>
      </c>
      <c r="U125" s="6">
        <v>84304</v>
      </c>
      <c r="V125" s="6">
        <v>108145</v>
      </c>
      <c r="W125" s="6">
        <v>101000</v>
      </c>
      <c r="X125" s="6">
        <v>101506</v>
      </c>
      <c r="Y125" s="6">
        <v>82247</v>
      </c>
      <c r="Z125" s="6">
        <v>107020</v>
      </c>
      <c r="AA125" s="6">
        <v>95084</v>
      </c>
      <c r="AB125" s="6">
        <v>129319</v>
      </c>
      <c r="AC125" s="6">
        <v>143937</v>
      </c>
      <c r="AD125" s="6">
        <v>77110</v>
      </c>
      <c r="AE125" s="6">
        <v>111526</v>
      </c>
      <c r="AF125" s="6">
        <v>75850</v>
      </c>
      <c r="AG125" s="6">
        <v>93839</v>
      </c>
      <c r="AH125" s="6">
        <v>93138</v>
      </c>
      <c r="AI125" s="6">
        <v>99508</v>
      </c>
      <c r="AJ125" s="6">
        <v>98367</v>
      </c>
      <c r="AK125" s="6">
        <v>83069</v>
      </c>
      <c r="AL125" s="6">
        <v>104283</v>
      </c>
      <c r="AM125" s="6">
        <v>97231</v>
      </c>
      <c r="AN125" s="6">
        <v>123093</v>
      </c>
      <c r="AO125" s="6">
        <v>140565</v>
      </c>
      <c r="AP125" s="6">
        <v>78166</v>
      </c>
      <c r="AQ125" s="6">
        <v>88022</v>
      </c>
      <c r="AR125" s="6">
        <v>108962</v>
      </c>
      <c r="AS125" s="6">
        <v>87155</v>
      </c>
      <c r="AT125" s="6">
        <v>98886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</row>
    <row r="126" spans="1:64" x14ac:dyDescent="0.25">
      <c r="A126" s="1">
        <v>4</v>
      </c>
      <c r="B126" s="3" t="s">
        <v>4</v>
      </c>
      <c r="C126" s="3" t="s">
        <v>5</v>
      </c>
      <c r="D126" s="3" t="s">
        <v>248</v>
      </c>
      <c r="E126" s="6">
        <v>95204</v>
      </c>
      <c r="F126" s="6">
        <v>71921</v>
      </c>
      <c r="G126" s="6">
        <v>85023</v>
      </c>
      <c r="H126" s="6">
        <v>87297</v>
      </c>
      <c r="I126" s="6">
        <v>82327</v>
      </c>
      <c r="J126" s="6">
        <v>88436</v>
      </c>
      <c r="K126" s="6">
        <v>86214</v>
      </c>
      <c r="L126" s="6">
        <v>91312</v>
      </c>
      <c r="M126" s="6">
        <v>78639</v>
      </c>
      <c r="N126" s="6">
        <v>87115</v>
      </c>
      <c r="O126" s="6">
        <v>88235</v>
      </c>
      <c r="P126" s="6">
        <v>111059</v>
      </c>
      <c r="Q126" s="6">
        <v>104521</v>
      </c>
      <c r="R126" s="6">
        <v>74125</v>
      </c>
      <c r="S126" s="6">
        <v>85600</v>
      </c>
      <c r="T126" s="6">
        <v>87923</v>
      </c>
      <c r="U126" s="6">
        <v>90981</v>
      </c>
      <c r="V126" s="6">
        <v>97665</v>
      </c>
      <c r="W126" s="6">
        <v>95877</v>
      </c>
      <c r="X126" s="6">
        <v>96288</v>
      </c>
      <c r="Y126" s="6">
        <v>86249</v>
      </c>
      <c r="Z126" s="6">
        <v>95324</v>
      </c>
      <c r="AA126" s="6">
        <v>93198</v>
      </c>
      <c r="AB126" s="6">
        <v>120558</v>
      </c>
      <c r="AC126" s="6">
        <v>111341</v>
      </c>
      <c r="AD126" s="6">
        <v>80790</v>
      </c>
      <c r="AE126" s="6">
        <v>98452</v>
      </c>
      <c r="AF126" s="6">
        <v>82138</v>
      </c>
      <c r="AG126" s="6">
        <v>93916</v>
      </c>
      <c r="AH126" s="6">
        <v>90960</v>
      </c>
      <c r="AI126" s="6">
        <v>102911</v>
      </c>
      <c r="AJ126" s="6">
        <v>98189</v>
      </c>
      <c r="AK126" s="6">
        <v>89227</v>
      </c>
      <c r="AL126" s="6">
        <v>99515</v>
      </c>
      <c r="AM126" s="6">
        <v>95606</v>
      </c>
      <c r="AN126" s="6">
        <v>122625</v>
      </c>
      <c r="AO126" s="6">
        <v>116398</v>
      </c>
      <c r="AP126" s="6">
        <v>83260</v>
      </c>
      <c r="AQ126" s="6">
        <v>90701</v>
      </c>
      <c r="AR126" s="6">
        <v>87241</v>
      </c>
      <c r="AS126" s="6">
        <v>83104</v>
      </c>
      <c r="AT126" s="6">
        <v>95051</v>
      </c>
      <c r="AU126" s="6">
        <v>102920</v>
      </c>
      <c r="AV126" s="6">
        <v>97108</v>
      </c>
      <c r="AW126" s="6">
        <v>96425</v>
      </c>
      <c r="AX126" s="6">
        <v>94753</v>
      </c>
      <c r="AY126" s="6">
        <v>104929</v>
      </c>
      <c r="AZ126" s="6">
        <v>121093</v>
      </c>
      <c r="BA126" s="6">
        <v>98673</v>
      </c>
      <c r="BB126" s="6">
        <v>53077</v>
      </c>
      <c r="BC126" s="6">
        <v>79091</v>
      </c>
      <c r="BD126" s="6">
        <v>67491</v>
      </c>
      <c r="BE126" s="6">
        <v>61570</v>
      </c>
      <c r="BF126" s="6">
        <v>58360</v>
      </c>
      <c r="BG126" s="6">
        <v>71016</v>
      </c>
      <c r="BH126" s="6">
        <v>69836</v>
      </c>
      <c r="BI126" s="6">
        <v>66403</v>
      </c>
      <c r="BJ126" s="6">
        <v>73853</v>
      </c>
      <c r="BK126" s="6">
        <v>76567</v>
      </c>
      <c r="BL126" s="6">
        <v>100459</v>
      </c>
    </row>
    <row r="127" spans="1:64" x14ac:dyDescent="0.25">
      <c r="A127" s="1">
        <v>121</v>
      </c>
      <c r="B127" s="3" t="s">
        <v>177</v>
      </c>
      <c r="C127" s="3" t="s">
        <v>178</v>
      </c>
      <c r="D127" s="3" t="s">
        <v>183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</row>
    <row r="128" spans="1:64" x14ac:dyDescent="0.25">
      <c r="A128" s="1">
        <v>108</v>
      </c>
      <c r="B128" s="3" t="s">
        <v>166</v>
      </c>
      <c r="C128" s="3" t="s">
        <v>167</v>
      </c>
      <c r="D128" s="3" t="s">
        <v>169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111671</v>
      </c>
      <c r="AJ128" s="6">
        <v>102953</v>
      </c>
      <c r="AK128" s="6">
        <v>95336</v>
      </c>
      <c r="AL128" s="6">
        <v>113155</v>
      </c>
      <c r="AM128" s="6">
        <v>103944</v>
      </c>
      <c r="AN128" s="6">
        <v>136925</v>
      </c>
      <c r="AO128" s="6">
        <v>130273</v>
      </c>
      <c r="AP128" s="6">
        <v>91703</v>
      </c>
      <c r="AQ128" s="6">
        <v>100488</v>
      </c>
      <c r="AR128" s="6">
        <v>116194</v>
      </c>
      <c r="AS128" s="6">
        <v>96136</v>
      </c>
      <c r="AT128" s="6">
        <v>112693</v>
      </c>
      <c r="AU128" s="6">
        <v>117643</v>
      </c>
      <c r="AV128" s="6">
        <v>106672</v>
      </c>
      <c r="AW128" s="6">
        <v>100078</v>
      </c>
      <c r="AX128" s="6">
        <v>109333</v>
      </c>
      <c r="AY128" s="6">
        <v>110386</v>
      </c>
      <c r="AZ128" s="6">
        <v>149573</v>
      </c>
      <c r="BA128" s="6">
        <v>115449</v>
      </c>
      <c r="BB128" s="6">
        <v>92218</v>
      </c>
      <c r="BC128" s="6">
        <v>123030</v>
      </c>
      <c r="BD128" s="6">
        <v>95059</v>
      </c>
      <c r="BE128" s="6">
        <v>100790</v>
      </c>
      <c r="BF128" s="6">
        <v>140738</v>
      </c>
      <c r="BG128" s="6">
        <v>116300</v>
      </c>
      <c r="BH128" s="6">
        <v>109774</v>
      </c>
      <c r="BI128" s="6">
        <v>102910</v>
      </c>
      <c r="BJ128" s="6">
        <v>114361</v>
      </c>
      <c r="BK128" s="6">
        <v>111805</v>
      </c>
      <c r="BL128" s="6">
        <v>153358</v>
      </c>
    </row>
    <row r="129" spans="1:64" x14ac:dyDescent="0.25">
      <c r="A129" s="1">
        <v>127</v>
      </c>
      <c r="B129" s="3" t="s">
        <v>189</v>
      </c>
      <c r="C129" s="3" t="s">
        <v>190</v>
      </c>
      <c r="D129" s="3" t="s">
        <v>193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>
        <v>0</v>
      </c>
      <c r="AD129" s="6">
        <v>0</v>
      </c>
      <c r="AE129" s="6">
        <v>0</v>
      </c>
      <c r="AF129" s="6">
        <v>0</v>
      </c>
      <c r="AG129" s="6">
        <v>31802</v>
      </c>
      <c r="AH129" s="6">
        <v>117870</v>
      </c>
      <c r="AI129" s="6">
        <v>121786</v>
      </c>
      <c r="AJ129" s="6">
        <v>122692</v>
      </c>
      <c r="AK129" s="6">
        <v>115241</v>
      </c>
      <c r="AL129" s="6">
        <v>118965</v>
      </c>
      <c r="AM129" s="6">
        <v>115915</v>
      </c>
      <c r="AN129" s="6">
        <v>142983</v>
      </c>
      <c r="AO129" s="6">
        <v>127832</v>
      </c>
      <c r="AP129" s="6">
        <v>108600</v>
      </c>
      <c r="AQ129" s="6">
        <v>119758</v>
      </c>
      <c r="AR129" s="6">
        <v>117277</v>
      </c>
      <c r="AS129" s="6">
        <v>118439</v>
      </c>
      <c r="AT129" s="6">
        <v>119790</v>
      </c>
      <c r="AU129" s="6">
        <v>125238</v>
      </c>
      <c r="AV129" s="6">
        <v>124976</v>
      </c>
      <c r="AW129" s="6">
        <v>118004</v>
      </c>
      <c r="AX129" s="6">
        <v>123163</v>
      </c>
      <c r="AY129" s="6">
        <v>121310</v>
      </c>
      <c r="AZ129" s="6">
        <v>145612</v>
      </c>
      <c r="BA129" s="6">
        <v>133587</v>
      </c>
      <c r="BB129" s="6">
        <v>66367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</row>
    <row r="130" spans="1:64" x14ac:dyDescent="0.25">
      <c r="A130" s="1">
        <v>153</v>
      </c>
      <c r="B130" s="3" t="s">
        <v>228</v>
      </c>
      <c r="C130" s="3" t="s">
        <v>229</v>
      </c>
      <c r="D130" s="3" t="s">
        <v>251</v>
      </c>
      <c r="E130" s="6">
        <v>179553</v>
      </c>
      <c r="F130" s="6">
        <v>110333</v>
      </c>
      <c r="G130" s="6">
        <v>119472</v>
      </c>
      <c r="H130" s="6">
        <v>145970</v>
      </c>
      <c r="I130" s="6">
        <v>144223</v>
      </c>
      <c r="J130" s="6">
        <v>138532</v>
      </c>
      <c r="K130" s="6">
        <v>125756</v>
      </c>
      <c r="L130" s="6">
        <v>128825</v>
      </c>
      <c r="M130" s="6">
        <v>115125</v>
      </c>
      <c r="N130" s="6">
        <v>138574</v>
      </c>
      <c r="O130" s="6">
        <v>137945</v>
      </c>
      <c r="P130" s="6">
        <v>169631</v>
      </c>
      <c r="Q130" s="6">
        <v>183398</v>
      </c>
      <c r="R130" s="6">
        <v>109118</v>
      </c>
      <c r="S130" s="6">
        <v>125041</v>
      </c>
      <c r="T130" s="6">
        <v>138589</v>
      </c>
      <c r="U130" s="6">
        <v>125833</v>
      </c>
      <c r="V130" s="6">
        <v>144465</v>
      </c>
      <c r="W130" s="6">
        <v>143866</v>
      </c>
      <c r="X130" s="6">
        <v>138878</v>
      </c>
      <c r="Y130" s="6">
        <v>123164</v>
      </c>
      <c r="Z130" s="6">
        <v>148410</v>
      </c>
      <c r="AA130" s="6">
        <v>139253</v>
      </c>
      <c r="AB130" s="6">
        <v>180265</v>
      </c>
      <c r="AC130" s="6">
        <v>191839</v>
      </c>
      <c r="AD130" s="6">
        <v>113766</v>
      </c>
      <c r="AE130" s="6">
        <v>154733</v>
      </c>
      <c r="AF130" s="6">
        <v>111937</v>
      </c>
      <c r="AG130" s="6">
        <v>127895</v>
      </c>
      <c r="AH130" s="6">
        <v>128810</v>
      </c>
      <c r="AI130" s="6">
        <v>129025</v>
      </c>
      <c r="AJ130" s="6">
        <v>132620</v>
      </c>
      <c r="AK130" s="6">
        <v>119282</v>
      </c>
      <c r="AL130" s="6">
        <v>139235</v>
      </c>
      <c r="AM130" s="6">
        <v>136215</v>
      </c>
      <c r="AN130" s="6">
        <v>171958</v>
      </c>
      <c r="AO130" s="6">
        <v>184989</v>
      </c>
      <c r="AP130" s="6">
        <v>111221</v>
      </c>
      <c r="AQ130" s="6">
        <v>124150</v>
      </c>
      <c r="AR130" s="6">
        <v>149156</v>
      </c>
      <c r="AS130" s="6">
        <v>124186</v>
      </c>
      <c r="AT130" s="6">
        <v>137677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</row>
    <row r="131" spans="1:64" x14ac:dyDescent="0.25">
      <c r="A131" s="1">
        <v>128</v>
      </c>
      <c r="B131" s="3" t="s">
        <v>189</v>
      </c>
      <c r="C131" s="3" t="s">
        <v>190</v>
      </c>
      <c r="D131" s="3" t="s">
        <v>194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148957</v>
      </c>
      <c r="Y131" s="6">
        <v>127849</v>
      </c>
      <c r="Z131" s="6">
        <v>129824</v>
      </c>
      <c r="AA131" s="6">
        <v>129500</v>
      </c>
      <c r="AB131" s="6">
        <v>153537</v>
      </c>
      <c r="AC131" s="6">
        <v>147102</v>
      </c>
      <c r="AD131" s="6">
        <v>126869</v>
      </c>
      <c r="AE131" s="6">
        <v>142780</v>
      </c>
      <c r="AF131" s="6">
        <v>135545</v>
      </c>
      <c r="AG131" s="6">
        <v>137221</v>
      </c>
      <c r="AH131" s="6">
        <v>132636</v>
      </c>
      <c r="AI131" s="6">
        <v>142226</v>
      </c>
      <c r="AJ131" s="6">
        <v>137910</v>
      </c>
      <c r="AK131" s="6">
        <v>133742</v>
      </c>
      <c r="AL131" s="6">
        <v>140636</v>
      </c>
      <c r="AM131" s="6">
        <v>139151</v>
      </c>
      <c r="AN131" s="6">
        <v>157732</v>
      </c>
      <c r="AO131" s="6">
        <v>149512</v>
      </c>
      <c r="AP131" s="6">
        <v>129572</v>
      </c>
      <c r="AQ131" s="6">
        <v>148342</v>
      </c>
      <c r="AR131" s="6">
        <v>146411</v>
      </c>
      <c r="AS131" s="6">
        <v>150843</v>
      </c>
      <c r="AT131" s="6">
        <v>152720</v>
      </c>
      <c r="AU131" s="6">
        <v>162508</v>
      </c>
      <c r="AV131" s="6">
        <v>160439</v>
      </c>
      <c r="AW131" s="6">
        <v>158867</v>
      </c>
      <c r="AX131" s="6">
        <v>165781</v>
      </c>
      <c r="AY131" s="6">
        <v>162366</v>
      </c>
      <c r="AZ131" s="6">
        <v>185555</v>
      </c>
      <c r="BA131" s="6">
        <v>175205</v>
      </c>
      <c r="BB131" s="6">
        <v>93411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</row>
    <row r="132" spans="1:64" x14ac:dyDescent="0.25">
      <c r="A132" s="1">
        <v>122</v>
      </c>
      <c r="B132" s="3" t="s">
        <v>177</v>
      </c>
      <c r="C132" s="3" t="s">
        <v>178</v>
      </c>
      <c r="D132" s="3" t="s">
        <v>184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8522</v>
      </c>
      <c r="AB132" s="6">
        <v>74294</v>
      </c>
      <c r="AC132" s="6">
        <v>81662</v>
      </c>
      <c r="AD132" s="6">
        <v>57323</v>
      </c>
      <c r="AE132" s="6">
        <v>74191</v>
      </c>
      <c r="AF132" s="6">
        <v>54475</v>
      </c>
      <c r="AG132" s="6">
        <v>60597</v>
      </c>
      <c r="AH132" s="6">
        <v>59654</v>
      </c>
      <c r="AI132" s="6">
        <v>61792</v>
      </c>
      <c r="AJ132" s="6">
        <v>61326</v>
      </c>
      <c r="AK132" s="6">
        <v>55921</v>
      </c>
      <c r="AL132" s="6">
        <v>56442</v>
      </c>
      <c r="AM132" s="6">
        <v>54804</v>
      </c>
      <c r="AN132" s="6">
        <v>66585</v>
      </c>
      <c r="AO132" s="6">
        <v>73361</v>
      </c>
      <c r="AP132" s="6">
        <v>50144</v>
      </c>
      <c r="AQ132" s="6">
        <v>56357</v>
      </c>
      <c r="AR132" s="6">
        <v>68002</v>
      </c>
      <c r="AS132" s="6">
        <v>55238</v>
      </c>
      <c r="AT132" s="6">
        <v>60156</v>
      </c>
      <c r="AU132" s="6">
        <v>58784</v>
      </c>
      <c r="AV132" s="6">
        <v>56056</v>
      </c>
      <c r="AW132" s="6">
        <v>53654</v>
      </c>
      <c r="AX132" s="6">
        <v>54549</v>
      </c>
      <c r="AY132" s="6">
        <v>54226</v>
      </c>
      <c r="AZ132" s="6">
        <v>68017</v>
      </c>
      <c r="BA132" s="6">
        <v>75748</v>
      </c>
      <c r="BB132" s="6">
        <v>51664</v>
      </c>
      <c r="BC132" s="6">
        <v>63951</v>
      </c>
      <c r="BD132" s="6">
        <v>60540</v>
      </c>
      <c r="BE132" s="6">
        <v>56138</v>
      </c>
      <c r="BF132" s="6">
        <v>58363</v>
      </c>
      <c r="BG132" s="6">
        <v>62393</v>
      </c>
      <c r="BH132" s="6">
        <v>58692</v>
      </c>
      <c r="BI132" s="6">
        <v>53250</v>
      </c>
      <c r="BJ132" s="6">
        <v>57009</v>
      </c>
      <c r="BK132" s="6">
        <v>55632</v>
      </c>
      <c r="BL132" s="6">
        <v>71468</v>
      </c>
    </row>
    <row r="133" spans="1:64" x14ac:dyDescent="0.25">
      <c r="A133" s="1">
        <v>150</v>
      </c>
      <c r="B133" s="3" t="s">
        <v>225</v>
      </c>
      <c r="C133" s="3" t="s">
        <v>226</v>
      </c>
      <c r="D133" s="3" t="s">
        <v>227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59307</v>
      </c>
      <c r="Z133" s="6">
        <v>80159</v>
      </c>
      <c r="AA133" s="6">
        <v>75465</v>
      </c>
      <c r="AB133" s="6">
        <v>85765</v>
      </c>
      <c r="AC133" s="6">
        <v>85122</v>
      </c>
      <c r="AD133" s="6">
        <v>65585</v>
      </c>
      <c r="AE133" s="6">
        <v>74338</v>
      </c>
      <c r="AF133" s="6">
        <v>65591</v>
      </c>
      <c r="AG133" s="6">
        <v>68147</v>
      </c>
      <c r="AH133" s="6">
        <v>69837</v>
      </c>
      <c r="AI133" s="6">
        <v>70869</v>
      </c>
      <c r="AJ133" s="6">
        <v>74179</v>
      </c>
      <c r="AK133" s="6">
        <v>66609</v>
      </c>
      <c r="AL133" s="6">
        <v>73338</v>
      </c>
      <c r="AM133" s="6">
        <v>71301</v>
      </c>
      <c r="AN133" s="6">
        <v>83320</v>
      </c>
      <c r="AO133" s="6">
        <v>84332</v>
      </c>
      <c r="AP133" s="6">
        <v>64049</v>
      </c>
      <c r="AQ133" s="6">
        <v>73278</v>
      </c>
      <c r="AR133" s="6">
        <v>76955</v>
      </c>
      <c r="AS133" s="6">
        <v>76775</v>
      </c>
      <c r="AT133" s="6">
        <v>75828</v>
      </c>
      <c r="AU133" s="6">
        <v>75756</v>
      </c>
      <c r="AV133" s="6">
        <v>84030</v>
      </c>
      <c r="AW133" s="6">
        <v>81627</v>
      </c>
      <c r="AX133" s="6">
        <v>77562</v>
      </c>
      <c r="AY133" s="6">
        <v>75690</v>
      </c>
      <c r="AZ133" s="6">
        <v>87695</v>
      </c>
      <c r="BA133" s="6">
        <v>86552</v>
      </c>
      <c r="BB133" s="6">
        <v>66689</v>
      </c>
      <c r="BC133" s="6">
        <v>76136</v>
      </c>
      <c r="BD133" s="6">
        <v>72343</v>
      </c>
      <c r="BE133" s="6">
        <v>77115</v>
      </c>
      <c r="BF133" s="6">
        <v>76355</v>
      </c>
      <c r="BG133" s="6">
        <v>80658</v>
      </c>
      <c r="BH133" s="6">
        <v>87461</v>
      </c>
      <c r="BI133" s="6">
        <v>77080</v>
      </c>
      <c r="BJ133" s="6">
        <v>79908</v>
      </c>
      <c r="BK133" s="6">
        <v>78649</v>
      </c>
      <c r="BL133" s="6">
        <v>91236</v>
      </c>
    </row>
    <row r="134" spans="1:64" x14ac:dyDescent="0.25">
      <c r="A134" s="1">
        <v>5</v>
      </c>
      <c r="B134" s="3" t="s">
        <v>4</v>
      </c>
      <c r="C134" s="3" t="s">
        <v>5</v>
      </c>
      <c r="D134" s="3" t="s">
        <v>249</v>
      </c>
      <c r="E134" s="6">
        <v>113738</v>
      </c>
      <c r="F134" s="6">
        <v>75091</v>
      </c>
      <c r="G134" s="6">
        <v>85312</v>
      </c>
      <c r="H134" s="6">
        <v>100550</v>
      </c>
      <c r="I134" s="6">
        <v>87021</v>
      </c>
      <c r="J134" s="6">
        <v>95544</v>
      </c>
      <c r="K134" s="6">
        <v>95918</v>
      </c>
      <c r="L134" s="6">
        <v>99682</v>
      </c>
      <c r="M134" s="6">
        <v>85022</v>
      </c>
      <c r="N134" s="6">
        <v>99559</v>
      </c>
      <c r="O134" s="6">
        <v>96145</v>
      </c>
      <c r="P134" s="6">
        <v>121663</v>
      </c>
      <c r="Q134" s="6">
        <v>130338</v>
      </c>
      <c r="R134" s="6">
        <v>83074</v>
      </c>
      <c r="S134" s="6">
        <v>88004</v>
      </c>
      <c r="T134" s="6">
        <v>102523</v>
      </c>
      <c r="U134" s="6">
        <v>96403</v>
      </c>
      <c r="V134" s="6">
        <v>110040</v>
      </c>
      <c r="W134" s="6">
        <v>106602</v>
      </c>
      <c r="X134" s="6">
        <v>109759</v>
      </c>
      <c r="Y134" s="6">
        <v>94781</v>
      </c>
      <c r="Z134" s="6">
        <v>107450</v>
      </c>
      <c r="AA134" s="6">
        <v>101660</v>
      </c>
      <c r="AB134" s="6">
        <v>132833</v>
      </c>
      <c r="AC134" s="6">
        <v>138482</v>
      </c>
      <c r="AD134" s="6">
        <v>89924</v>
      </c>
      <c r="AE134" s="6">
        <v>120544</v>
      </c>
      <c r="AF134" s="6">
        <v>88754</v>
      </c>
      <c r="AG134" s="6">
        <v>101169</v>
      </c>
      <c r="AH134" s="6">
        <v>93851</v>
      </c>
      <c r="AI134" s="6">
        <v>101415</v>
      </c>
      <c r="AJ134" s="6">
        <v>116768</v>
      </c>
      <c r="AK134" s="6">
        <v>94668</v>
      </c>
      <c r="AL134" s="6">
        <v>106737</v>
      </c>
      <c r="AM134" s="6">
        <v>100826</v>
      </c>
      <c r="AN134" s="6">
        <v>125486</v>
      </c>
      <c r="AO134" s="6">
        <v>136808</v>
      </c>
      <c r="AP134" s="6">
        <v>86150</v>
      </c>
      <c r="AQ134" s="6">
        <v>94176</v>
      </c>
      <c r="AR134" s="6">
        <v>108604</v>
      </c>
      <c r="AS134" s="6">
        <v>87896</v>
      </c>
      <c r="AT134" s="6">
        <v>105126</v>
      </c>
      <c r="AU134" s="6">
        <v>106744</v>
      </c>
      <c r="AV134" s="6">
        <v>106499</v>
      </c>
      <c r="AW134" s="6">
        <v>93052</v>
      </c>
      <c r="AX134" s="6">
        <v>103511</v>
      </c>
      <c r="AY134" s="6">
        <v>98207</v>
      </c>
      <c r="AZ134" s="6">
        <v>124049</v>
      </c>
      <c r="BA134" s="6">
        <v>91233</v>
      </c>
      <c r="BB134" s="6">
        <v>12290</v>
      </c>
      <c r="BC134" s="6">
        <v>59931</v>
      </c>
      <c r="BD134" s="6">
        <v>70013</v>
      </c>
      <c r="BE134" s="6">
        <v>58064</v>
      </c>
      <c r="BF134" s="6">
        <v>57158</v>
      </c>
      <c r="BG134" s="6">
        <v>73155</v>
      </c>
      <c r="BH134" s="6">
        <v>72017</v>
      </c>
      <c r="BI134" s="6">
        <v>62237</v>
      </c>
      <c r="BJ134" s="6">
        <v>70119</v>
      </c>
      <c r="BK134" s="6">
        <v>67190</v>
      </c>
      <c r="BL134" s="6">
        <v>93636</v>
      </c>
    </row>
    <row r="135" spans="1:64" x14ac:dyDescent="0.25">
      <c r="A135" s="1">
        <v>9</v>
      </c>
      <c r="B135" s="3" t="s">
        <v>13</v>
      </c>
      <c r="C135" s="3" t="s">
        <v>14</v>
      </c>
      <c r="D135" s="3" t="s">
        <v>16</v>
      </c>
      <c r="E135" s="6">
        <v>520284</v>
      </c>
      <c r="F135" s="6">
        <v>393274</v>
      </c>
      <c r="G135" s="6">
        <v>451514</v>
      </c>
      <c r="H135" s="6">
        <v>467993</v>
      </c>
      <c r="I135" s="6">
        <v>437452</v>
      </c>
      <c r="J135" s="6">
        <v>473408</v>
      </c>
      <c r="K135" s="6">
        <v>448398</v>
      </c>
      <c r="L135" s="6">
        <v>494793</v>
      </c>
      <c r="M135" s="6">
        <v>431537</v>
      </c>
      <c r="N135" s="6">
        <v>483431</v>
      </c>
      <c r="O135" s="6">
        <v>468163</v>
      </c>
      <c r="P135" s="6">
        <v>560315</v>
      </c>
      <c r="Q135" s="6">
        <v>552456</v>
      </c>
      <c r="R135" s="6">
        <v>417070</v>
      </c>
      <c r="S135" s="6">
        <v>494647</v>
      </c>
      <c r="T135" s="6">
        <v>475905</v>
      </c>
      <c r="U135" s="6">
        <v>501459</v>
      </c>
      <c r="V135" s="6">
        <v>518577</v>
      </c>
      <c r="W135" s="6">
        <v>511152</v>
      </c>
      <c r="X135" s="6">
        <v>537049</v>
      </c>
      <c r="Y135" s="6">
        <v>472496</v>
      </c>
      <c r="Z135" s="6">
        <v>532647</v>
      </c>
      <c r="AA135" s="6">
        <v>515292</v>
      </c>
      <c r="AB135" s="6">
        <v>617766</v>
      </c>
      <c r="AC135" s="6">
        <v>593082</v>
      </c>
      <c r="AD135" s="6">
        <v>434027</v>
      </c>
      <c r="AE135" s="6">
        <v>521217</v>
      </c>
      <c r="AF135" s="6">
        <v>453812</v>
      </c>
      <c r="AG135" s="6">
        <v>506815</v>
      </c>
      <c r="AH135" s="6">
        <v>504687</v>
      </c>
      <c r="AI135" s="6">
        <v>549385</v>
      </c>
      <c r="AJ135" s="6">
        <v>509549</v>
      </c>
      <c r="AK135" s="6">
        <v>457250</v>
      </c>
      <c r="AL135" s="6">
        <v>517612</v>
      </c>
      <c r="AM135" s="6">
        <v>489411</v>
      </c>
      <c r="AN135" s="6">
        <v>577447</v>
      </c>
      <c r="AO135" s="6">
        <v>575904</v>
      </c>
      <c r="AP135" s="6">
        <v>417046</v>
      </c>
      <c r="AQ135" s="6">
        <v>472573</v>
      </c>
      <c r="AR135" s="6">
        <v>513748</v>
      </c>
      <c r="AS135" s="6">
        <v>486372</v>
      </c>
      <c r="AT135" s="6">
        <v>516437</v>
      </c>
      <c r="AU135" s="6">
        <v>530428</v>
      </c>
      <c r="AV135" s="6">
        <v>526387</v>
      </c>
      <c r="AW135" s="6">
        <v>471594</v>
      </c>
      <c r="AX135" s="6">
        <v>533782</v>
      </c>
      <c r="AY135" s="6">
        <v>516934</v>
      </c>
      <c r="AZ135" s="6">
        <v>623747</v>
      </c>
      <c r="BA135" s="6">
        <v>601053</v>
      </c>
      <c r="BB135" s="6">
        <v>440175</v>
      </c>
      <c r="BC135" s="6">
        <v>539342</v>
      </c>
      <c r="BD135" s="6">
        <v>480563</v>
      </c>
      <c r="BE135" s="6">
        <v>492264</v>
      </c>
      <c r="BF135" s="6">
        <v>532519</v>
      </c>
      <c r="BG135" s="6">
        <v>558465</v>
      </c>
      <c r="BH135" s="6">
        <v>543760</v>
      </c>
      <c r="BI135" s="6">
        <v>498169</v>
      </c>
      <c r="BJ135" s="6">
        <v>537613</v>
      </c>
      <c r="BK135" s="6">
        <v>525803</v>
      </c>
      <c r="BL135" s="6">
        <v>636909</v>
      </c>
    </row>
    <row r="136" spans="1:64" x14ac:dyDescent="0.25">
      <c r="A136" s="1">
        <v>100</v>
      </c>
      <c r="B136" s="3" t="s">
        <v>147</v>
      </c>
      <c r="C136" s="3" t="s">
        <v>148</v>
      </c>
      <c r="D136" s="3" t="s">
        <v>150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159155</v>
      </c>
      <c r="Q136" s="6">
        <v>169486</v>
      </c>
      <c r="R136" s="6">
        <v>108160</v>
      </c>
      <c r="S136" s="6">
        <v>118745</v>
      </c>
      <c r="T136" s="6">
        <v>134812</v>
      </c>
      <c r="U136" s="6">
        <v>128139</v>
      </c>
      <c r="V136" s="6">
        <v>146775</v>
      </c>
      <c r="W136" s="6">
        <v>140668</v>
      </c>
      <c r="X136" s="6">
        <v>144012</v>
      </c>
      <c r="Y136" s="6">
        <v>124563</v>
      </c>
      <c r="Z136" s="6">
        <v>142040</v>
      </c>
      <c r="AA136" s="6">
        <v>134225</v>
      </c>
      <c r="AB136" s="6">
        <v>173317</v>
      </c>
      <c r="AC136" s="6">
        <v>181113</v>
      </c>
      <c r="AD136" s="6">
        <v>120263</v>
      </c>
      <c r="AE136" s="6">
        <v>166732</v>
      </c>
      <c r="AF136" s="6">
        <v>116819</v>
      </c>
      <c r="AG136" s="6">
        <v>135567</v>
      </c>
      <c r="AH136" s="6">
        <v>131002</v>
      </c>
      <c r="AI136" s="6">
        <v>139575</v>
      </c>
      <c r="AJ136" s="6">
        <v>156531</v>
      </c>
      <c r="AK136" s="6">
        <v>127075</v>
      </c>
      <c r="AL136" s="6">
        <v>144717</v>
      </c>
      <c r="AM136" s="6">
        <v>137236</v>
      </c>
      <c r="AN136" s="6">
        <v>168118</v>
      </c>
      <c r="AO136" s="6">
        <v>183076</v>
      </c>
      <c r="AP136" s="6">
        <v>117369</v>
      </c>
      <c r="AQ136" s="6">
        <v>129101</v>
      </c>
      <c r="AR136" s="6">
        <v>147243</v>
      </c>
      <c r="AS136" s="6">
        <v>123510</v>
      </c>
      <c r="AT136" s="6">
        <v>146363</v>
      </c>
      <c r="AU136" s="6">
        <v>147640</v>
      </c>
      <c r="AV136" s="6">
        <v>146777</v>
      </c>
      <c r="AW136" s="6">
        <v>128391</v>
      </c>
      <c r="AX136" s="6">
        <v>142544</v>
      </c>
      <c r="AY136" s="6">
        <v>135821</v>
      </c>
      <c r="AZ136" s="6">
        <v>174110</v>
      </c>
      <c r="BA136" s="6">
        <v>176360</v>
      </c>
      <c r="BB136" s="6">
        <v>108525</v>
      </c>
      <c r="BC136" s="6">
        <v>141348</v>
      </c>
      <c r="BD136" s="6">
        <v>130131</v>
      </c>
      <c r="BE136" s="6">
        <v>120885</v>
      </c>
      <c r="BF136" s="6">
        <v>135376</v>
      </c>
      <c r="BG136" s="6">
        <v>147951</v>
      </c>
      <c r="BH136" s="6">
        <v>145196</v>
      </c>
      <c r="BI136" s="6">
        <v>124476</v>
      </c>
      <c r="BJ136" s="6">
        <v>142380</v>
      </c>
      <c r="BK136" s="6">
        <v>133701</v>
      </c>
      <c r="BL136" s="6">
        <v>164911</v>
      </c>
    </row>
    <row r="137" spans="1:64" x14ac:dyDescent="0.25">
      <c r="A137" s="1">
        <v>6</v>
      </c>
      <c r="B137" s="3" t="s">
        <v>4</v>
      </c>
      <c r="C137" s="3" t="s">
        <v>5</v>
      </c>
      <c r="D137" s="3" t="s">
        <v>11</v>
      </c>
      <c r="E137" s="6">
        <v>78432</v>
      </c>
      <c r="F137" s="6">
        <v>62201</v>
      </c>
      <c r="G137" s="6">
        <v>68486</v>
      </c>
      <c r="H137" s="6">
        <v>69421</v>
      </c>
      <c r="I137" s="6">
        <v>70363</v>
      </c>
      <c r="J137" s="6">
        <v>66666</v>
      </c>
      <c r="K137" s="6">
        <v>71464</v>
      </c>
      <c r="L137" s="6">
        <v>72440</v>
      </c>
      <c r="M137" s="6">
        <v>69661</v>
      </c>
      <c r="N137" s="6">
        <v>77056</v>
      </c>
      <c r="O137" s="6">
        <v>72435</v>
      </c>
      <c r="P137" s="6">
        <v>79248</v>
      </c>
      <c r="Q137" s="6">
        <v>87856</v>
      </c>
      <c r="R137" s="6">
        <v>68238</v>
      </c>
      <c r="S137" s="6">
        <v>66615</v>
      </c>
      <c r="T137" s="6">
        <v>73789</v>
      </c>
      <c r="U137" s="6">
        <v>73151</v>
      </c>
      <c r="V137" s="6">
        <v>73294</v>
      </c>
      <c r="W137" s="6">
        <v>79329</v>
      </c>
      <c r="X137" s="6">
        <v>79141</v>
      </c>
      <c r="Y137" s="6">
        <v>83280</v>
      </c>
      <c r="Z137" s="6">
        <v>90582</v>
      </c>
      <c r="AA137" s="6">
        <v>89490</v>
      </c>
      <c r="AB137" s="6">
        <v>92986</v>
      </c>
      <c r="AC137" s="6">
        <v>102351</v>
      </c>
      <c r="AD137" s="6">
        <v>79860</v>
      </c>
      <c r="AE137" s="6">
        <v>87081</v>
      </c>
      <c r="AF137" s="6">
        <v>80870</v>
      </c>
      <c r="AG137" s="6">
        <v>83168</v>
      </c>
      <c r="AH137" s="6">
        <v>72835</v>
      </c>
      <c r="AI137" s="6">
        <v>80616</v>
      </c>
      <c r="AJ137" s="6">
        <v>151346</v>
      </c>
      <c r="AK137" s="6">
        <v>165040</v>
      </c>
      <c r="AL137" s="6">
        <v>99615</v>
      </c>
      <c r="AM137" s="6">
        <v>93678</v>
      </c>
      <c r="AN137" s="6">
        <v>101941</v>
      </c>
      <c r="AO137" s="6">
        <v>109776</v>
      </c>
      <c r="AP137" s="6">
        <v>85098</v>
      </c>
      <c r="AQ137" s="6">
        <v>89954</v>
      </c>
      <c r="AR137" s="6">
        <v>88638</v>
      </c>
      <c r="AS137" s="6">
        <v>85031</v>
      </c>
      <c r="AT137" s="6">
        <v>88404</v>
      </c>
      <c r="AU137" s="6">
        <v>91473</v>
      </c>
      <c r="AV137" s="6">
        <v>91169</v>
      </c>
      <c r="AW137" s="6">
        <v>84962</v>
      </c>
      <c r="AX137" s="6">
        <v>89086</v>
      </c>
      <c r="AY137" s="6">
        <v>84045</v>
      </c>
      <c r="AZ137" s="6">
        <v>104886</v>
      </c>
      <c r="BA137" s="6">
        <v>96067</v>
      </c>
      <c r="BB137" s="6">
        <v>59858</v>
      </c>
      <c r="BC137" s="6">
        <v>69606</v>
      </c>
      <c r="BD137" s="6">
        <v>72441</v>
      </c>
      <c r="BE137" s="6">
        <v>71817</v>
      </c>
      <c r="BF137" s="6">
        <v>60035</v>
      </c>
      <c r="BG137" s="6">
        <v>73961</v>
      </c>
      <c r="BH137" s="6">
        <v>73372</v>
      </c>
      <c r="BI137" s="6">
        <v>69485</v>
      </c>
      <c r="BJ137" s="6">
        <v>74292</v>
      </c>
      <c r="BK137" s="6">
        <v>69941</v>
      </c>
      <c r="BL137" s="6">
        <v>80484</v>
      </c>
    </row>
    <row r="138" spans="1:64" x14ac:dyDescent="0.25">
      <c r="A138" s="1">
        <v>7</v>
      </c>
      <c r="B138" s="3" t="s">
        <v>4</v>
      </c>
      <c r="C138" s="3" t="s">
        <v>5</v>
      </c>
      <c r="D138" s="3" t="s">
        <v>12</v>
      </c>
      <c r="E138" s="6">
        <v>248132</v>
      </c>
      <c r="F138" s="6">
        <v>177613</v>
      </c>
      <c r="G138" s="6">
        <v>200290</v>
      </c>
      <c r="H138" s="6">
        <v>218138</v>
      </c>
      <c r="I138" s="6">
        <v>200128</v>
      </c>
      <c r="J138" s="6">
        <v>213862</v>
      </c>
      <c r="K138" s="6">
        <v>215132</v>
      </c>
      <c r="L138" s="6">
        <v>224501</v>
      </c>
      <c r="M138" s="6">
        <v>197992</v>
      </c>
      <c r="N138" s="6">
        <v>223803</v>
      </c>
      <c r="O138" s="6">
        <v>220239</v>
      </c>
      <c r="P138" s="6">
        <v>270060</v>
      </c>
      <c r="Q138" s="6">
        <v>271942</v>
      </c>
      <c r="R138" s="6">
        <v>186620</v>
      </c>
      <c r="S138" s="6">
        <v>213915</v>
      </c>
      <c r="T138" s="6">
        <v>224181</v>
      </c>
      <c r="U138" s="6">
        <v>226622</v>
      </c>
      <c r="V138" s="6">
        <v>243605</v>
      </c>
      <c r="W138" s="6">
        <v>240292</v>
      </c>
      <c r="X138" s="6">
        <v>240708</v>
      </c>
      <c r="Y138" s="6">
        <v>209842</v>
      </c>
      <c r="Z138" s="6">
        <v>230736</v>
      </c>
      <c r="AA138" s="6">
        <v>223407</v>
      </c>
      <c r="AB138" s="6">
        <v>285693</v>
      </c>
      <c r="AC138" s="6">
        <v>290506</v>
      </c>
      <c r="AD138" s="6">
        <v>202772</v>
      </c>
      <c r="AE138" s="6">
        <v>252465</v>
      </c>
      <c r="AF138" s="6">
        <v>210482</v>
      </c>
      <c r="AG138" s="6">
        <v>233791</v>
      </c>
      <c r="AH138" s="6">
        <v>231486</v>
      </c>
      <c r="AI138" s="6">
        <v>242645</v>
      </c>
      <c r="AJ138" s="6">
        <v>185606</v>
      </c>
      <c r="AK138" s="6">
        <v>138327</v>
      </c>
      <c r="AL138" s="6">
        <v>234563</v>
      </c>
      <c r="AM138" s="6">
        <v>227970</v>
      </c>
      <c r="AN138" s="6">
        <v>278000</v>
      </c>
      <c r="AO138" s="6">
        <v>289112</v>
      </c>
      <c r="AP138" s="6">
        <v>194414</v>
      </c>
      <c r="AQ138" s="6">
        <v>220196</v>
      </c>
      <c r="AR138" s="6">
        <v>240146</v>
      </c>
      <c r="AS138" s="6">
        <v>224577</v>
      </c>
      <c r="AT138" s="6">
        <v>241662</v>
      </c>
      <c r="AU138" s="6">
        <v>250220</v>
      </c>
      <c r="AV138" s="6">
        <v>244132</v>
      </c>
      <c r="AW138" s="6">
        <v>220255</v>
      </c>
      <c r="AX138" s="6">
        <v>244279</v>
      </c>
      <c r="AY138" s="6">
        <v>242437</v>
      </c>
      <c r="AZ138" s="6">
        <v>293664</v>
      </c>
      <c r="BA138" s="6">
        <v>276101</v>
      </c>
      <c r="BB138" s="6">
        <v>170038</v>
      </c>
      <c r="BC138" s="6">
        <v>240857</v>
      </c>
      <c r="BD138" s="6">
        <v>223729</v>
      </c>
      <c r="BE138" s="6">
        <v>221877</v>
      </c>
      <c r="BF138" s="6">
        <v>201231</v>
      </c>
      <c r="BG138" s="6">
        <v>252421</v>
      </c>
      <c r="BH138" s="6">
        <v>247129</v>
      </c>
      <c r="BI138" s="6">
        <v>221736</v>
      </c>
      <c r="BJ138" s="6">
        <v>241749</v>
      </c>
      <c r="BK138" s="6">
        <v>234737</v>
      </c>
      <c r="BL138" s="6">
        <v>290338</v>
      </c>
    </row>
    <row r="139" spans="1:64" x14ac:dyDescent="0.25">
      <c r="A139" s="1">
        <v>89</v>
      </c>
      <c r="B139" s="3" t="s">
        <v>121</v>
      </c>
      <c r="C139" s="3" t="s">
        <v>122</v>
      </c>
      <c r="D139" s="3" t="s">
        <v>127</v>
      </c>
      <c r="E139" s="6">
        <v>220529</v>
      </c>
      <c r="F139" s="6">
        <v>147878</v>
      </c>
      <c r="G139" s="6">
        <v>154824</v>
      </c>
      <c r="H139" s="6">
        <v>179772</v>
      </c>
      <c r="I139" s="6">
        <v>162375</v>
      </c>
      <c r="J139" s="6">
        <v>168661</v>
      </c>
      <c r="K139" s="6">
        <v>176553</v>
      </c>
      <c r="L139" s="6">
        <v>161492</v>
      </c>
      <c r="M139" s="6">
        <v>153319</v>
      </c>
      <c r="N139" s="6">
        <v>171788</v>
      </c>
      <c r="O139" s="6">
        <v>163399</v>
      </c>
      <c r="P139" s="6">
        <v>191464</v>
      </c>
      <c r="Q139" s="6">
        <v>217835</v>
      </c>
      <c r="R139" s="6">
        <v>152454</v>
      </c>
      <c r="S139" s="6">
        <v>171214</v>
      </c>
      <c r="T139" s="6">
        <v>176081</v>
      </c>
      <c r="U139" s="6">
        <v>169243</v>
      </c>
      <c r="V139" s="6">
        <v>173428</v>
      </c>
      <c r="W139" s="6">
        <v>184229</v>
      </c>
      <c r="X139" s="6">
        <v>174712</v>
      </c>
      <c r="Y139" s="6">
        <v>165210</v>
      </c>
      <c r="Z139" s="6">
        <v>184233</v>
      </c>
      <c r="AA139" s="6">
        <v>172598</v>
      </c>
      <c r="AB139" s="6">
        <v>207003</v>
      </c>
      <c r="AC139" s="6">
        <v>234135</v>
      </c>
      <c r="AD139" s="6">
        <v>151783</v>
      </c>
      <c r="AE139" s="6">
        <v>183028</v>
      </c>
      <c r="AF139" s="6">
        <v>158484</v>
      </c>
      <c r="AG139" s="6">
        <v>163421</v>
      </c>
      <c r="AH139" s="6">
        <v>167776</v>
      </c>
      <c r="AI139" s="6">
        <v>169309</v>
      </c>
      <c r="AJ139" s="6">
        <v>172250</v>
      </c>
      <c r="AK139" s="6">
        <v>162009</v>
      </c>
      <c r="AL139" s="6">
        <v>174783</v>
      </c>
      <c r="AM139" s="6">
        <v>169189</v>
      </c>
      <c r="AN139" s="6">
        <v>205548</v>
      </c>
      <c r="AO139" s="6">
        <v>234790</v>
      </c>
      <c r="AP139" s="6">
        <v>153785</v>
      </c>
      <c r="AQ139" s="6">
        <v>168873</v>
      </c>
      <c r="AR139" s="6">
        <v>186192</v>
      </c>
      <c r="AS139" s="6">
        <v>168626</v>
      </c>
      <c r="AT139" s="6">
        <v>174852</v>
      </c>
      <c r="AU139" s="6">
        <v>175973</v>
      </c>
      <c r="AV139" s="6">
        <v>172286</v>
      </c>
      <c r="AW139" s="6">
        <v>164844</v>
      </c>
      <c r="AX139" s="6">
        <v>180779</v>
      </c>
      <c r="AY139" s="6">
        <v>170851</v>
      </c>
      <c r="AZ139" s="6">
        <v>212810</v>
      </c>
      <c r="BA139" s="6">
        <v>245396</v>
      </c>
      <c r="BB139" s="6">
        <v>155709</v>
      </c>
      <c r="BC139" s="6">
        <v>189006</v>
      </c>
      <c r="BD139" s="6">
        <v>184845</v>
      </c>
      <c r="BE139" s="6">
        <v>179888</v>
      </c>
      <c r="BF139" s="6">
        <v>188059</v>
      </c>
      <c r="BG139" s="6">
        <v>193380</v>
      </c>
      <c r="BH139" s="6">
        <v>179758</v>
      </c>
      <c r="BI139" s="6">
        <v>169771</v>
      </c>
      <c r="BJ139" s="6">
        <v>186504</v>
      </c>
      <c r="BK139" s="6">
        <v>179904</v>
      </c>
      <c r="BL139" s="6">
        <v>218307</v>
      </c>
    </row>
    <row r="140" spans="1:64" x14ac:dyDescent="0.25">
      <c r="A140" s="1">
        <v>45</v>
      </c>
      <c r="B140" s="3" t="s">
        <v>59</v>
      </c>
      <c r="C140" s="3" t="s">
        <v>60</v>
      </c>
      <c r="D140" s="3" t="s">
        <v>68</v>
      </c>
      <c r="E140" s="6">
        <v>198493</v>
      </c>
      <c r="F140" s="6">
        <v>152726</v>
      </c>
      <c r="G140" s="6">
        <v>164839</v>
      </c>
      <c r="H140" s="6">
        <v>184654</v>
      </c>
      <c r="I140" s="6">
        <v>160771</v>
      </c>
      <c r="J140" s="6">
        <v>174272</v>
      </c>
      <c r="K140" s="6">
        <v>188158</v>
      </c>
      <c r="L140" s="6">
        <v>185938</v>
      </c>
      <c r="M140" s="6">
        <v>166346</v>
      </c>
      <c r="N140" s="6">
        <v>184046</v>
      </c>
      <c r="O140" s="6">
        <v>178740</v>
      </c>
      <c r="P140" s="6">
        <v>210932</v>
      </c>
      <c r="Q140" s="6">
        <v>210679</v>
      </c>
      <c r="R140" s="6">
        <v>154223</v>
      </c>
      <c r="S140" s="6">
        <v>172795</v>
      </c>
      <c r="T140" s="6">
        <v>197188</v>
      </c>
      <c r="U140" s="6">
        <v>189699</v>
      </c>
      <c r="V140" s="6">
        <v>191620</v>
      </c>
      <c r="W140" s="6">
        <v>205159</v>
      </c>
      <c r="X140" s="6">
        <v>203313</v>
      </c>
      <c r="Y140" s="6">
        <v>183438</v>
      </c>
      <c r="Z140" s="6">
        <v>198554</v>
      </c>
      <c r="AA140" s="6">
        <v>198157</v>
      </c>
      <c r="AB140" s="6">
        <v>238041</v>
      </c>
      <c r="AC140" s="6">
        <v>239447</v>
      </c>
      <c r="AD140" s="6">
        <v>183591</v>
      </c>
      <c r="AE140" s="6">
        <v>226546</v>
      </c>
      <c r="AF140" s="6">
        <v>186438</v>
      </c>
      <c r="AG140" s="6">
        <v>201084</v>
      </c>
      <c r="AH140" s="6">
        <v>133276</v>
      </c>
      <c r="AI140" s="6">
        <v>214002</v>
      </c>
      <c r="AJ140" s="6">
        <v>225164</v>
      </c>
      <c r="AK140" s="6">
        <v>199745</v>
      </c>
      <c r="AL140" s="6">
        <v>212793</v>
      </c>
      <c r="AM140" s="6">
        <v>214318</v>
      </c>
      <c r="AN140" s="6">
        <v>246716</v>
      </c>
      <c r="AO140" s="6">
        <v>247760</v>
      </c>
      <c r="AP140" s="6">
        <v>182300</v>
      </c>
      <c r="AQ140" s="6">
        <v>200406</v>
      </c>
      <c r="AR140" s="6">
        <v>226632</v>
      </c>
      <c r="AS140" s="6">
        <v>204134</v>
      </c>
      <c r="AT140" s="6">
        <v>213592</v>
      </c>
      <c r="AU140" s="6">
        <v>236214</v>
      </c>
      <c r="AV140" s="6">
        <v>228037</v>
      </c>
      <c r="AW140" s="6">
        <v>204792</v>
      </c>
      <c r="AX140" s="6">
        <v>207858</v>
      </c>
      <c r="AY140" s="6">
        <v>181073</v>
      </c>
      <c r="AZ140" s="6">
        <v>256717</v>
      </c>
      <c r="BA140" s="6">
        <v>257357</v>
      </c>
      <c r="BB140" s="6">
        <v>185831</v>
      </c>
      <c r="BC140" s="6">
        <v>235556</v>
      </c>
      <c r="BD140" s="6">
        <v>214390</v>
      </c>
      <c r="BE140" s="6">
        <v>208193</v>
      </c>
      <c r="BF140" s="6">
        <v>218417</v>
      </c>
      <c r="BG140" s="6">
        <v>241636</v>
      </c>
      <c r="BH140" s="6">
        <v>229114</v>
      </c>
      <c r="BI140" s="6">
        <v>211439</v>
      </c>
      <c r="BJ140" s="6">
        <v>228591</v>
      </c>
      <c r="BK140" s="6">
        <v>0</v>
      </c>
      <c r="BL140" s="6">
        <v>0</v>
      </c>
    </row>
    <row r="141" spans="1:64" x14ac:dyDescent="0.25">
      <c r="A141" s="1">
        <v>76</v>
      </c>
      <c r="B141" s="3" t="s">
        <v>100</v>
      </c>
      <c r="C141" s="3" t="s">
        <v>101</v>
      </c>
      <c r="D141" s="3" t="s">
        <v>108</v>
      </c>
      <c r="E141" s="6">
        <v>422394</v>
      </c>
      <c r="F141" s="6">
        <v>373969</v>
      </c>
      <c r="G141" s="6">
        <v>422538</v>
      </c>
      <c r="H141" s="6">
        <v>401435</v>
      </c>
      <c r="I141" s="6">
        <v>410986</v>
      </c>
      <c r="J141" s="6">
        <v>392097</v>
      </c>
      <c r="K141" s="6">
        <v>416746</v>
      </c>
      <c r="L141" s="6">
        <v>418520</v>
      </c>
      <c r="M141" s="6">
        <v>403047</v>
      </c>
      <c r="N141" s="6">
        <v>410260</v>
      </c>
      <c r="O141" s="6">
        <v>390871</v>
      </c>
      <c r="P141" s="6">
        <v>455550</v>
      </c>
      <c r="Q141" s="6">
        <v>444619</v>
      </c>
      <c r="R141" s="6">
        <v>388147</v>
      </c>
      <c r="S141" s="6">
        <v>444312</v>
      </c>
      <c r="T141" s="6">
        <v>423416</v>
      </c>
      <c r="U141" s="6">
        <v>441836</v>
      </c>
      <c r="V141" s="6">
        <v>415289</v>
      </c>
      <c r="W141" s="6">
        <v>441187</v>
      </c>
      <c r="X141" s="6">
        <v>444170</v>
      </c>
      <c r="Y141" s="6">
        <v>427816</v>
      </c>
      <c r="Z141" s="6">
        <v>448279</v>
      </c>
      <c r="AA141" s="6">
        <v>423650</v>
      </c>
      <c r="AB141" s="6">
        <v>485591</v>
      </c>
      <c r="AC141" s="6">
        <v>481638</v>
      </c>
      <c r="AD141" s="6">
        <v>440258</v>
      </c>
      <c r="AE141" s="6">
        <v>480517</v>
      </c>
      <c r="AF141" s="6">
        <v>455233</v>
      </c>
      <c r="AG141" s="6">
        <v>474672</v>
      </c>
      <c r="AH141" s="6">
        <v>457723</v>
      </c>
      <c r="AI141" s="6">
        <v>482933</v>
      </c>
      <c r="AJ141" s="6">
        <v>481812</v>
      </c>
      <c r="AK141" s="6">
        <v>468534</v>
      </c>
      <c r="AL141" s="6">
        <v>471112</v>
      </c>
      <c r="AM141" s="6">
        <v>442580</v>
      </c>
      <c r="AN141" s="6">
        <v>516538</v>
      </c>
      <c r="AO141" s="6">
        <v>501050</v>
      </c>
      <c r="AP141" s="6">
        <v>446770</v>
      </c>
      <c r="AQ141" s="6">
        <v>518309</v>
      </c>
      <c r="AR141" s="6">
        <v>502487</v>
      </c>
      <c r="AS141" s="6">
        <v>513981</v>
      </c>
      <c r="AT141" s="6">
        <v>503437</v>
      </c>
      <c r="AU141" s="6">
        <v>527852</v>
      </c>
      <c r="AV141" s="6">
        <v>528266</v>
      </c>
      <c r="AW141" s="6">
        <v>497366</v>
      </c>
      <c r="AX141" s="6">
        <v>523040</v>
      </c>
      <c r="AY141" s="6">
        <v>484644</v>
      </c>
      <c r="AZ141" s="6">
        <v>562271</v>
      </c>
      <c r="BA141" s="6">
        <v>540918</v>
      </c>
      <c r="BB141" s="6">
        <v>478475</v>
      </c>
      <c r="BC141" s="6">
        <v>542173</v>
      </c>
      <c r="BD141" s="6">
        <v>521376</v>
      </c>
      <c r="BE141" s="6">
        <v>525838</v>
      </c>
      <c r="BF141" s="6">
        <v>506831</v>
      </c>
      <c r="BG141" s="6">
        <v>540190</v>
      </c>
      <c r="BH141" s="6">
        <v>543660</v>
      </c>
      <c r="BI141" s="6">
        <v>524894</v>
      </c>
      <c r="BJ141" s="6">
        <v>538207</v>
      </c>
      <c r="BK141" s="6">
        <v>503249</v>
      </c>
      <c r="BL141" s="6">
        <v>578335</v>
      </c>
    </row>
    <row r="142" spans="1:64" x14ac:dyDescent="0.25">
      <c r="A142" s="1">
        <v>54</v>
      </c>
      <c r="B142" s="3" t="s">
        <v>79</v>
      </c>
      <c r="C142" s="3" t="s">
        <v>80</v>
      </c>
      <c r="D142" s="3" t="s">
        <v>83</v>
      </c>
      <c r="E142" s="6">
        <v>372570</v>
      </c>
      <c r="F142" s="6">
        <v>283016</v>
      </c>
      <c r="G142" s="6">
        <v>319505</v>
      </c>
      <c r="H142" s="6">
        <v>319827</v>
      </c>
      <c r="I142" s="6">
        <v>284738</v>
      </c>
      <c r="J142" s="6">
        <v>333360</v>
      </c>
      <c r="K142" s="6">
        <v>328492</v>
      </c>
      <c r="L142" s="6">
        <v>339087</v>
      </c>
      <c r="M142" s="6">
        <v>309825</v>
      </c>
      <c r="N142" s="6">
        <v>346329</v>
      </c>
      <c r="O142" s="6">
        <v>331778</v>
      </c>
      <c r="P142" s="6">
        <v>423677</v>
      </c>
      <c r="Q142" s="6">
        <v>402865</v>
      </c>
      <c r="R142" s="6">
        <v>301918</v>
      </c>
      <c r="S142" s="6">
        <v>325620</v>
      </c>
      <c r="T142" s="6">
        <v>347121</v>
      </c>
      <c r="U142" s="6">
        <v>358463</v>
      </c>
      <c r="V142" s="6">
        <v>369866</v>
      </c>
      <c r="W142" s="6">
        <v>363008</v>
      </c>
      <c r="X142" s="6">
        <v>364345</v>
      </c>
      <c r="Y142" s="6">
        <v>336203</v>
      </c>
      <c r="Z142" s="6">
        <v>378277</v>
      </c>
      <c r="AA142" s="6">
        <v>362430</v>
      </c>
      <c r="AB142" s="6">
        <v>465765</v>
      </c>
      <c r="AC142" s="6">
        <v>429577</v>
      </c>
      <c r="AD142" s="6">
        <v>327420</v>
      </c>
      <c r="AE142" s="6">
        <v>391400</v>
      </c>
      <c r="AF142" s="6">
        <v>335927</v>
      </c>
      <c r="AG142" s="6">
        <v>370244</v>
      </c>
      <c r="AH142" s="6">
        <v>351435</v>
      </c>
      <c r="AI142" s="6">
        <v>298344</v>
      </c>
      <c r="AJ142" s="6">
        <v>385503</v>
      </c>
      <c r="AK142" s="6">
        <v>348838</v>
      </c>
      <c r="AL142" s="6">
        <v>387402</v>
      </c>
      <c r="AM142" s="6">
        <v>372255</v>
      </c>
      <c r="AN142" s="6">
        <v>469794</v>
      </c>
      <c r="AO142" s="6">
        <v>437526</v>
      </c>
      <c r="AP142" s="6">
        <v>332254</v>
      </c>
      <c r="AQ142" s="6">
        <v>370023</v>
      </c>
      <c r="AR142" s="6">
        <v>391190</v>
      </c>
      <c r="AS142" s="6">
        <v>375784</v>
      </c>
      <c r="AT142" s="6">
        <v>384044</v>
      </c>
      <c r="AU142" s="6">
        <v>403165</v>
      </c>
      <c r="AV142" s="6">
        <v>393365</v>
      </c>
      <c r="AW142" s="6">
        <v>357639</v>
      </c>
      <c r="AX142" s="6">
        <v>395743</v>
      </c>
      <c r="AY142" s="6">
        <v>387669</v>
      </c>
      <c r="AZ142" s="6">
        <v>502659</v>
      </c>
      <c r="BA142" s="6">
        <v>460916</v>
      </c>
      <c r="BB142" s="6">
        <v>342177</v>
      </c>
      <c r="BC142" s="6">
        <v>410338</v>
      </c>
      <c r="BD142" s="6">
        <v>370527</v>
      </c>
      <c r="BE142" s="6">
        <v>385147</v>
      </c>
      <c r="BF142" s="6">
        <v>405375</v>
      </c>
      <c r="BG142" s="6">
        <v>428274</v>
      </c>
      <c r="BH142" s="6">
        <v>422143</v>
      </c>
      <c r="BI142" s="6">
        <v>388911</v>
      </c>
      <c r="BJ142" s="6">
        <v>419903</v>
      </c>
      <c r="BK142" s="6">
        <v>417536</v>
      </c>
      <c r="BL142" s="6">
        <v>541955</v>
      </c>
    </row>
    <row r="143" spans="1:64" s="10" customFormat="1" x14ac:dyDescent="0.25">
      <c r="A143" s="8">
        <v>19</v>
      </c>
      <c r="B143" s="8" t="s">
        <v>26</v>
      </c>
      <c r="C143" s="8" t="s">
        <v>27</v>
      </c>
      <c r="D143" s="8" t="s">
        <v>30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>
        <v>6918</v>
      </c>
      <c r="AD143" s="6">
        <v>7898</v>
      </c>
      <c r="AE143" s="6">
        <v>8454</v>
      </c>
      <c r="AF143" s="6">
        <v>7808</v>
      </c>
      <c r="AG143" s="6">
        <v>7005</v>
      </c>
      <c r="AH143" s="6">
        <v>6104</v>
      </c>
      <c r="AI143" s="6">
        <v>6307</v>
      </c>
      <c r="AJ143" s="6">
        <v>8184</v>
      </c>
      <c r="AK143" s="6">
        <v>5835</v>
      </c>
      <c r="AL143" s="6">
        <v>6378</v>
      </c>
      <c r="AM143" s="6">
        <v>7062</v>
      </c>
      <c r="AN143" s="6">
        <v>7393</v>
      </c>
      <c r="AO143" s="6">
        <v>6443</v>
      </c>
      <c r="AP143" s="6">
        <v>6526</v>
      </c>
      <c r="AQ143" s="6">
        <v>6554</v>
      </c>
      <c r="AR143" s="6">
        <v>6157</v>
      </c>
      <c r="AS143" s="6">
        <v>6903</v>
      </c>
      <c r="AT143" s="6">
        <v>6743</v>
      </c>
      <c r="AU143" s="6">
        <v>6809</v>
      </c>
      <c r="AV143" s="6">
        <v>6995</v>
      </c>
      <c r="AW143" s="6">
        <v>6910</v>
      </c>
      <c r="AX143" s="6">
        <v>7141</v>
      </c>
      <c r="AY143" s="6">
        <v>7167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</row>
    <row r="144" spans="1:64" s="10" customFormat="1" x14ac:dyDescent="0.25">
      <c r="A144" s="8">
        <v>114</v>
      </c>
      <c r="B144" s="8" t="s">
        <v>175</v>
      </c>
      <c r="C144" s="8" t="s">
        <v>176</v>
      </c>
      <c r="D144" s="8" t="s">
        <v>30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7267</v>
      </c>
      <c r="BA144" s="6">
        <v>6712</v>
      </c>
      <c r="BB144" s="6">
        <v>6497</v>
      </c>
      <c r="BC144" s="6">
        <v>6258</v>
      </c>
      <c r="BD144" s="6">
        <v>6220</v>
      </c>
      <c r="BE144" s="6">
        <v>5627</v>
      </c>
      <c r="BF144" s="6">
        <v>5477</v>
      </c>
      <c r="BG144" s="6">
        <v>5819</v>
      </c>
      <c r="BH144" s="6">
        <v>4441</v>
      </c>
      <c r="BI144" s="6">
        <v>4037</v>
      </c>
      <c r="BJ144" s="6">
        <v>4690</v>
      </c>
      <c r="BK144" s="6">
        <v>5073</v>
      </c>
      <c r="BL144" s="6">
        <v>4812</v>
      </c>
    </row>
    <row r="145" spans="1:64" x14ac:dyDescent="0.25">
      <c r="A145" s="1">
        <v>90</v>
      </c>
      <c r="B145" s="3" t="s">
        <v>121</v>
      </c>
      <c r="C145" s="3" t="s">
        <v>122</v>
      </c>
      <c r="D145" s="3" t="s">
        <v>128</v>
      </c>
      <c r="E145" s="6">
        <v>101634</v>
      </c>
      <c r="F145" s="6">
        <v>80993</v>
      </c>
      <c r="G145" s="6">
        <v>86618</v>
      </c>
      <c r="H145" s="6">
        <v>91540</v>
      </c>
      <c r="I145" s="6">
        <v>88643</v>
      </c>
      <c r="J145" s="6">
        <v>87199</v>
      </c>
      <c r="K145" s="6">
        <v>92021</v>
      </c>
      <c r="L145" s="6">
        <v>90786</v>
      </c>
      <c r="M145" s="6">
        <v>84492</v>
      </c>
      <c r="N145" s="6">
        <v>90334</v>
      </c>
      <c r="O145" s="6">
        <v>89733</v>
      </c>
      <c r="P145" s="6">
        <v>103454</v>
      </c>
      <c r="Q145" s="6">
        <v>102721</v>
      </c>
      <c r="R145" s="6">
        <v>82528</v>
      </c>
      <c r="S145" s="6">
        <v>92944</v>
      </c>
      <c r="T145" s="6">
        <v>98505</v>
      </c>
      <c r="U145" s="6">
        <v>99318</v>
      </c>
      <c r="V145" s="6">
        <v>97924</v>
      </c>
      <c r="W145" s="6">
        <v>103004</v>
      </c>
      <c r="X145" s="6">
        <v>98120</v>
      </c>
      <c r="Y145" s="6">
        <v>89966</v>
      </c>
      <c r="Z145" s="6">
        <v>98832</v>
      </c>
      <c r="AA145" s="6">
        <v>95657</v>
      </c>
      <c r="AB145" s="6">
        <v>115201</v>
      </c>
      <c r="AC145" s="6">
        <v>112179</v>
      </c>
      <c r="AD145" s="6">
        <v>88418</v>
      </c>
      <c r="AE145" s="6">
        <v>100468</v>
      </c>
      <c r="AF145" s="6">
        <v>94017</v>
      </c>
      <c r="AG145" s="6">
        <v>96844</v>
      </c>
      <c r="AH145" s="6">
        <v>94989</v>
      </c>
      <c r="AI145" s="6">
        <v>102373</v>
      </c>
      <c r="AJ145" s="6">
        <v>98478</v>
      </c>
      <c r="AK145" s="6">
        <v>92839</v>
      </c>
      <c r="AL145" s="6">
        <v>99347</v>
      </c>
      <c r="AM145" s="6">
        <v>97008</v>
      </c>
      <c r="AN145" s="6">
        <v>115633</v>
      </c>
      <c r="AO145" s="6">
        <v>112258</v>
      </c>
      <c r="AP145" s="6">
        <v>87459</v>
      </c>
      <c r="AQ145" s="6">
        <v>95134</v>
      </c>
      <c r="AR145" s="6">
        <v>107777</v>
      </c>
      <c r="AS145" s="6">
        <v>99549</v>
      </c>
      <c r="AT145" s="6">
        <v>97907</v>
      </c>
      <c r="AU145" s="6">
        <v>100123</v>
      </c>
      <c r="AV145" s="6">
        <v>97247</v>
      </c>
      <c r="AW145" s="6">
        <v>91254</v>
      </c>
      <c r="AX145" s="6">
        <v>98391</v>
      </c>
      <c r="AY145" s="6">
        <v>96151</v>
      </c>
      <c r="AZ145" s="6">
        <v>117312</v>
      </c>
      <c r="BA145" s="6">
        <v>114506</v>
      </c>
      <c r="BB145" s="6">
        <v>86696</v>
      </c>
      <c r="BC145" s="6">
        <v>102437</v>
      </c>
      <c r="BD145" s="6">
        <v>105465</v>
      </c>
      <c r="BE145" s="6">
        <v>99249</v>
      </c>
      <c r="BF145" s="6">
        <v>100226</v>
      </c>
      <c r="BG145" s="6">
        <v>105625</v>
      </c>
      <c r="BH145" s="6">
        <v>100389</v>
      </c>
      <c r="BI145" s="6">
        <v>94410</v>
      </c>
      <c r="BJ145" s="6">
        <v>102661</v>
      </c>
      <c r="BK145" s="6">
        <v>101740</v>
      </c>
      <c r="BL145" s="6">
        <v>120647</v>
      </c>
    </row>
    <row r="146" spans="1:64" s="10" customFormat="1" x14ac:dyDescent="0.25">
      <c r="A146" s="8">
        <v>30</v>
      </c>
      <c r="B146" s="8" t="s">
        <v>41</v>
      </c>
      <c r="C146" s="8" t="s">
        <v>42</v>
      </c>
      <c r="D146" s="8" t="s">
        <v>47</v>
      </c>
      <c r="E146" s="6">
        <v>120199</v>
      </c>
      <c r="F146" s="6">
        <v>89806</v>
      </c>
      <c r="G146" s="6">
        <v>96360</v>
      </c>
      <c r="H146" s="6">
        <v>96731</v>
      </c>
      <c r="I146" s="6">
        <v>97529</v>
      </c>
      <c r="J146" s="6">
        <v>92309</v>
      </c>
      <c r="K146" s="6">
        <v>98616</v>
      </c>
      <c r="L146" s="6">
        <v>101935</v>
      </c>
      <c r="M146" s="6">
        <v>96555</v>
      </c>
      <c r="N146" s="6">
        <v>99514</v>
      </c>
      <c r="O146" s="6">
        <v>93533</v>
      </c>
      <c r="P146" s="6">
        <v>111558</v>
      </c>
      <c r="Q146" s="6">
        <v>117402</v>
      </c>
      <c r="R146" s="6">
        <v>83298</v>
      </c>
      <c r="S146" s="6">
        <v>93787</v>
      </c>
      <c r="T146" s="6">
        <v>91635</v>
      </c>
      <c r="U146" s="6">
        <v>90448</v>
      </c>
      <c r="V146" s="6">
        <v>94043</v>
      </c>
      <c r="W146" s="6">
        <v>106313</v>
      </c>
      <c r="X146" s="6">
        <v>101465</v>
      </c>
      <c r="Y146" s="6">
        <v>26120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</row>
    <row r="147" spans="1:64" s="10" customFormat="1" x14ac:dyDescent="0.25">
      <c r="A147" s="8">
        <v>151</v>
      </c>
      <c r="B147" s="8" t="s">
        <v>225</v>
      </c>
      <c r="C147" s="8" t="s">
        <v>226</v>
      </c>
      <c r="D147" s="8" t="s">
        <v>47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71208</v>
      </c>
      <c r="Z147" s="6">
        <v>100138</v>
      </c>
      <c r="AA147" s="6">
        <v>95244</v>
      </c>
      <c r="AB147" s="6">
        <v>113009</v>
      </c>
      <c r="AC147" s="6">
        <v>122715</v>
      </c>
      <c r="AD147" s="6">
        <v>85834</v>
      </c>
      <c r="AE147" s="6">
        <v>97087</v>
      </c>
      <c r="AF147" s="6">
        <v>83956</v>
      </c>
      <c r="AG147" s="6">
        <v>85356</v>
      </c>
      <c r="AH147" s="6">
        <v>86725</v>
      </c>
      <c r="AI147" s="6">
        <v>89109</v>
      </c>
      <c r="AJ147" s="6">
        <v>90817</v>
      </c>
      <c r="AK147" s="6">
        <v>87291</v>
      </c>
      <c r="AL147" s="6">
        <v>92137</v>
      </c>
      <c r="AM147" s="6">
        <v>88134</v>
      </c>
      <c r="AN147" s="6">
        <v>105451</v>
      </c>
      <c r="AO147" s="6">
        <v>113324</v>
      </c>
      <c r="AP147" s="6">
        <v>83465</v>
      </c>
      <c r="AQ147" s="6">
        <v>92038</v>
      </c>
      <c r="AR147" s="6">
        <v>92595</v>
      </c>
      <c r="AS147" s="6">
        <v>91172</v>
      </c>
      <c r="AT147" s="6">
        <v>91912</v>
      </c>
      <c r="AU147" s="6">
        <v>90843</v>
      </c>
      <c r="AV147" s="6">
        <v>100500</v>
      </c>
      <c r="AW147" s="6">
        <v>95723</v>
      </c>
      <c r="AX147" s="6">
        <v>94862</v>
      </c>
      <c r="AY147" s="6">
        <v>91045</v>
      </c>
      <c r="AZ147" s="6">
        <v>111449</v>
      </c>
      <c r="BA147" s="6">
        <v>114198</v>
      </c>
      <c r="BB147" s="6">
        <v>82852</v>
      </c>
      <c r="BC147" s="6">
        <v>96216</v>
      </c>
      <c r="BD147" s="6">
        <v>87725</v>
      </c>
      <c r="BE147" s="6">
        <v>87860</v>
      </c>
      <c r="BF147" s="6">
        <v>87651</v>
      </c>
      <c r="BG147" s="6">
        <v>93455</v>
      </c>
      <c r="BH147" s="6">
        <v>94608</v>
      </c>
      <c r="BI147" s="6">
        <v>86175</v>
      </c>
      <c r="BJ147" s="6">
        <v>93941</v>
      </c>
      <c r="BK147" s="6">
        <v>90363</v>
      </c>
      <c r="BL147" s="6">
        <v>108649</v>
      </c>
    </row>
    <row r="148" spans="1:64" x14ac:dyDescent="0.25">
      <c r="A148" s="1">
        <v>98</v>
      </c>
      <c r="B148" s="3" t="s">
        <v>143</v>
      </c>
      <c r="C148" s="3" t="s">
        <v>144</v>
      </c>
      <c r="D148" s="3" t="s">
        <v>250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150867</v>
      </c>
      <c r="P148" s="6">
        <v>189327</v>
      </c>
      <c r="Q148" s="6">
        <v>195852</v>
      </c>
      <c r="R148" s="6">
        <v>128239</v>
      </c>
      <c r="S148" s="6">
        <v>140735</v>
      </c>
      <c r="T148" s="6">
        <v>157031</v>
      </c>
      <c r="U148" s="6">
        <v>150568</v>
      </c>
      <c r="V148" s="6">
        <v>181337</v>
      </c>
      <c r="W148" s="6">
        <v>167193</v>
      </c>
      <c r="X148" s="6">
        <v>171187</v>
      </c>
      <c r="Y148" s="6">
        <v>147561</v>
      </c>
      <c r="Z148" s="6">
        <v>168117</v>
      </c>
      <c r="AA148" s="6">
        <v>163579</v>
      </c>
      <c r="AB148" s="6">
        <v>202618</v>
      </c>
      <c r="AC148" s="6">
        <v>209178</v>
      </c>
      <c r="AD148" s="6">
        <v>136130</v>
      </c>
      <c r="AE148" s="6">
        <v>170204</v>
      </c>
      <c r="AF148" s="6">
        <v>121431</v>
      </c>
      <c r="AG148" s="6">
        <v>150072</v>
      </c>
      <c r="AH148" s="6">
        <v>137829</v>
      </c>
      <c r="AI148" s="6">
        <v>145076</v>
      </c>
      <c r="AJ148" s="6">
        <v>141061</v>
      </c>
      <c r="AK148" s="6">
        <v>119460</v>
      </c>
      <c r="AL148" s="6">
        <v>146553</v>
      </c>
      <c r="AM148" s="6">
        <v>158726</v>
      </c>
      <c r="AN148" s="6">
        <v>196501</v>
      </c>
      <c r="AO148" s="6">
        <v>209023</v>
      </c>
      <c r="AP148" s="6">
        <v>140363</v>
      </c>
      <c r="AQ148" s="6">
        <v>153830</v>
      </c>
      <c r="AR148" s="6">
        <v>174486</v>
      </c>
      <c r="AS148" s="6">
        <v>153825</v>
      </c>
      <c r="AT148" s="6">
        <v>174231</v>
      </c>
      <c r="AU148" s="6">
        <v>177202</v>
      </c>
      <c r="AV148" s="6">
        <v>175052</v>
      </c>
      <c r="AW148" s="6">
        <v>155386</v>
      </c>
      <c r="AX148" s="6">
        <v>174389</v>
      </c>
      <c r="AY148" s="6">
        <v>166653</v>
      </c>
      <c r="AZ148" s="6">
        <v>209504</v>
      </c>
      <c r="BA148" s="6">
        <v>208437</v>
      </c>
      <c r="BB148" s="6">
        <v>138205</v>
      </c>
      <c r="BC148" s="6">
        <v>177809</v>
      </c>
      <c r="BD148" s="6">
        <v>159993</v>
      </c>
      <c r="BE148" s="6">
        <v>167315</v>
      </c>
      <c r="BF148" s="6">
        <v>177063</v>
      </c>
      <c r="BG148" s="6">
        <v>189962</v>
      </c>
      <c r="BH148" s="6">
        <v>183690</v>
      </c>
      <c r="BI148" s="6">
        <v>154854</v>
      </c>
      <c r="BJ148" s="6">
        <v>175992</v>
      </c>
      <c r="BK148" s="6">
        <v>169323</v>
      </c>
      <c r="BL148" s="6">
        <v>206170</v>
      </c>
    </row>
    <row r="149" spans="1:64" x14ac:dyDescent="0.25">
      <c r="A149" s="1">
        <v>46</v>
      </c>
      <c r="B149" s="3" t="s">
        <v>59</v>
      </c>
      <c r="C149" s="3" t="s">
        <v>60</v>
      </c>
      <c r="D149" s="3" t="s">
        <v>69</v>
      </c>
      <c r="E149" s="6">
        <v>285580</v>
      </c>
      <c r="F149" s="6">
        <v>233690</v>
      </c>
      <c r="G149" s="6">
        <v>253082</v>
      </c>
      <c r="H149" s="6">
        <v>273353</v>
      </c>
      <c r="I149" s="6">
        <v>248706</v>
      </c>
      <c r="J149" s="6">
        <v>255449</v>
      </c>
      <c r="K149" s="6">
        <v>278121</v>
      </c>
      <c r="L149" s="6">
        <v>273829</v>
      </c>
      <c r="M149" s="6">
        <v>254879</v>
      </c>
      <c r="N149" s="6">
        <v>273377</v>
      </c>
      <c r="O149" s="6">
        <v>267641</v>
      </c>
      <c r="P149" s="6">
        <v>311833</v>
      </c>
      <c r="Q149" s="6">
        <v>302769</v>
      </c>
      <c r="R149" s="6">
        <v>241482</v>
      </c>
      <c r="S149" s="6">
        <v>266307</v>
      </c>
      <c r="T149" s="6">
        <v>288133</v>
      </c>
      <c r="U149" s="6">
        <v>280441</v>
      </c>
      <c r="V149" s="6">
        <v>281887</v>
      </c>
      <c r="W149" s="6">
        <v>298834</v>
      </c>
      <c r="X149" s="6">
        <v>296260</v>
      </c>
      <c r="Y149" s="6">
        <v>275597</v>
      </c>
      <c r="Z149" s="6">
        <v>291270</v>
      </c>
      <c r="AA149" s="6">
        <v>288297</v>
      </c>
      <c r="AB149" s="6">
        <v>339700</v>
      </c>
      <c r="AC149" s="6">
        <v>330247</v>
      </c>
      <c r="AD149" s="6">
        <v>272409</v>
      </c>
      <c r="AE149" s="6">
        <v>321510</v>
      </c>
      <c r="AF149" s="6">
        <v>277106</v>
      </c>
      <c r="AG149" s="6">
        <v>295280</v>
      </c>
      <c r="AH149" s="6">
        <v>237760</v>
      </c>
      <c r="AI149" s="6">
        <v>318263</v>
      </c>
      <c r="AJ149" s="6">
        <v>330214</v>
      </c>
      <c r="AK149" s="6">
        <v>300347</v>
      </c>
      <c r="AL149" s="6">
        <v>316619</v>
      </c>
      <c r="AM149" s="6">
        <v>316328</v>
      </c>
      <c r="AN149" s="6">
        <v>364238</v>
      </c>
      <c r="AO149" s="6">
        <v>349529</v>
      </c>
      <c r="AP149" s="6">
        <v>272835</v>
      </c>
      <c r="AQ149" s="6">
        <v>300226</v>
      </c>
      <c r="AR149" s="6">
        <v>323431</v>
      </c>
      <c r="AS149" s="6">
        <v>306681</v>
      </c>
      <c r="AT149" s="6">
        <v>314306</v>
      </c>
      <c r="AU149" s="6">
        <v>340781</v>
      </c>
      <c r="AV149" s="6">
        <v>334305</v>
      </c>
      <c r="AW149" s="6">
        <v>307671</v>
      </c>
      <c r="AX149" s="6">
        <v>316187</v>
      </c>
      <c r="AY149" s="6">
        <v>276017</v>
      </c>
      <c r="AZ149" s="6">
        <v>375138</v>
      </c>
      <c r="BA149" s="6">
        <v>362643</v>
      </c>
      <c r="BB149" s="6">
        <v>280022</v>
      </c>
      <c r="BC149" s="6">
        <v>343165</v>
      </c>
      <c r="BD149" s="6">
        <v>317608</v>
      </c>
      <c r="BE149" s="6">
        <v>315641</v>
      </c>
      <c r="BF149" s="6">
        <v>322113</v>
      </c>
      <c r="BG149" s="6">
        <v>351726</v>
      </c>
      <c r="BH149" s="6">
        <v>341067</v>
      </c>
      <c r="BI149" s="6">
        <v>320338</v>
      </c>
      <c r="BJ149" s="6">
        <v>342988</v>
      </c>
      <c r="BK149" s="6">
        <v>0</v>
      </c>
      <c r="BL149" s="6">
        <v>0</v>
      </c>
    </row>
    <row r="150" spans="1:64" x14ac:dyDescent="0.25">
      <c r="A150" s="1">
        <v>84</v>
      </c>
      <c r="B150" s="3" t="s">
        <v>112</v>
      </c>
      <c r="C150" s="3" t="s">
        <v>113</v>
      </c>
      <c r="D150" s="3" t="s">
        <v>120</v>
      </c>
      <c r="E150" s="6">
        <v>147292</v>
      </c>
      <c r="F150" s="6">
        <v>93141</v>
      </c>
      <c r="G150" s="6">
        <v>99991</v>
      </c>
      <c r="H150" s="6">
        <v>117580</v>
      </c>
      <c r="I150" s="6">
        <v>69804</v>
      </c>
      <c r="J150" s="6">
        <v>106235</v>
      </c>
      <c r="K150" s="6">
        <v>118967</v>
      </c>
      <c r="L150" s="6">
        <v>109063</v>
      </c>
      <c r="M150" s="6">
        <v>106212</v>
      </c>
      <c r="N150" s="6">
        <v>120191</v>
      </c>
      <c r="O150" s="6">
        <v>104540</v>
      </c>
      <c r="P150" s="6">
        <v>138999</v>
      </c>
      <c r="Q150" s="6">
        <v>149528</v>
      </c>
      <c r="R150" s="6">
        <v>101682</v>
      </c>
      <c r="S150" s="6">
        <v>112376</v>
      </c>
      <c r="T150" s="6">
        <v>112480</v>
      </c>
      <c r="U150" s="6">
        <v>109058</v>
      </c>
      <c r="V150" s="6">
        <v>114380</v>
      </c>
      <c r="W150" s="6">
        <v>126068</v>
      </c>
      <c r="X150" s="6">
        <v>123303</v>
      </c>
      <c r="Y150" s="6">
        <v>119827</v>
      </c>
      <c r="Z150" s="6">
        <v>127886</v>
      </c>
      <c r="AA150" s="6">
        <v>122247</v>
      </c>
      <c r="AB150" s="6">
        <v>152478</v>
      </c>
      <c r="AC150" s="6">
        <v>169766</v>
      </c>
      <c r="AD150" s="6">
        <v>105671</v>
      </c>
      <c r="AE150" s="6">
        <v>125325</v>
      </c>
      <c r="AF150" s="6">
        <v>108724</v>
      </c>
      <c r="AG150" s="6">
        <v>108422</v>
      </c>
      <c r="AH150" s="6">
        <v>116855</v>
      </c>
      <c r="AI150" s="6">
        <v>115016</v>
      </c>
      <c r="AJ150" s="6">
        <v>120791</v>
      </c>
      <c r="AK150" s="6">
        <v>117151</v>
      </c>
      <c r="AL150" s="6">
        <v>128699</v>
      </c>
      <c r="AM150" s="6">
        <v>118375</v>
      </c>
      <c r="AN150" s="6">
        <v>151874</v>
      </c>
      <c r="AO150" s="6">
        <v>173920</v>
      </c>
      <c r="AP150" s="6">
        <v>100372</v>
      </c>
      <c r="AQ150" s="6">
        <v>106696</v>
      </c>
      <c r="AR150" s="6">
        <v>121150</v>
      </c>
      <c r="AS150" s="6">
        <v>103909</v>
      </c>
      <c r="AT150" s="6">
        <v>114131</v>
      </c>
      <c r="AU150" s="6">
        <v>113283</v>
      </c>
      <c r="AV150" s="6">
        <v>111642</v>
      </c>
      <c r="AW150" s="6">
        <v>108440</v>
      </c>
      <c r="AX150" s="6">
        <v>78798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</row>
  </sheetData>
  <autoFilter ref="A1:BL150" xr:uid="{22FF7122-FF04-4E41-BED9-62A463150D32}">
    <sortState xmlns:xlrd2="http://schemas.microsoft.com/office/spreadsheetml/2017/richdata2" ref="A2:BL150">
      <sortCondition ref="D1:D150"/>
    </sortState>
  </autoFilter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7D26-17F6-4F94-8787-8E3474C7CE79}">
  <sheetPr codeName="Hoja2"/>
  <dimension ref="A1:BL150"/>
  <sheetViews>
    <sheetView zoomScale="50" zoomScaleNormal="5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49" sqref="G49"/>
    </sheetView>
  </sheetViews>
  <sheetFormatPr defaultColWidth="11.42578125" defaultRowHeight="15" x14ac:dyDescent="0.25"/>
  <cols>
    <col min="1" max="1" width="4.140625" bestFit="1" customWidth="1"/>
    <col min="2" max="2" width="11.42578125" bestFit="1" customWidth="1"/>
    <col min="3" max="3" width="30" customWidth="1"/>
    <col min="4" max="4" width="18.140625" bestFit="1" customWidth="1"/>
    <col min="5" max="28" width="18.140625" customWidth="1"/>
    <col min="29" max="29" width="16.85546875" style="5" bestFit="1" customWidth="1"/>
    <col min="30" max="35" width="15.7109375" style="5" bestFit="1" customWidth="1"/>
    <col min="36" max="41" width="16.85546875" style="5" bestFit="1" customWidth="1"/>
    <col min="42" max="42" width="15.7109375" style="5" bestFit="1" customWidth="1"/>
    <col min="43" max="53" width="16.85546875" style="5" bestFit="1" customWidth="1"/>
    <col min="54" max="54" width="16.7109375" style="5" bestFit="1" customWidth="1"/>
    <col min="55" max="55" width="16.85546875" style="5" bestFit="1" customWidth="1"/>
    <col min="56" max="57" width="16.7109375" style="5" bestFit="1" customWidth="1"/>
    <col min="58" max="64" width="16.85546875" style="5" bestFit="1" customWidth="1"/>
  </cols>
  <sheetData>
    <row r="1" spans="1:6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7">
        <v>41640</v>
      </c>
      <c r="F1" s="7">
        <v>41671</v>
      </c>
      <c r="G1" s="7">
        <v>41699</v>
      </c>
      <c r="H1" s="7">
        <v>41730</v>
      </c>
      <c r="I1" s="7">
        <v>41760</v>
      </c>
      <c r="J1" s="7">
        <v>41791</v>
      </c>
      <c r="K1" s="7">
        <v>41821</v>
      </c>
      <c r="L1" s="7">
        <v>41852</v>
      </c>
      <c r="M1" s="7">
        <v>41883</v>
      </c>
      <c r="N1" s="7">
        <v>41913</v>
      </c>
      <c r="O1" s="7">
        <v>41944</v>
      </c>
      <c r="P1" s="7">
        <v>41974</v>
      </c>
      <c r="Q1" s="7">
        <v>42005</v>
      </c>
      <c r="R1" s="7">
        <v>42036</v>
      </c>
      <c r="S1" s="7">
        <v>42064</v>
      </c>
      <c r="T1" s="7">
        <v>42095</v>
      </c>
      <c r="U1" s="7">
        <v>42125</v>
      </c>
      <c r="V1" s="7">
        <v>42156</v>
      </c>
      <c r="W1" s="7">
        <v>42186</v>
      </c>
      <c r="X1" s="7">
        <v>42217</v>
      </c>
      <c r="Y1" s="7">
        <v>42248</v>
      </c>
      <c r="Z1" s="7">
        <v>42278</v>
      </c>
      <c r="AA1" s="7">
        <v>42309</v>
      </c>
      <c r="AB1" s="7">
        <v>42339</v>
      </c>
      <c r="AC1" s="7">
        <v>42370</v>
      </c>
      <c r="AD1" s="7">
        <v>42401</v>
      </c>
      <c r="AE1" s="7">
        <v>42430</v>
      </c>
      <c r="AF1" s="7">
        <v>42461</v>
      </c>
      <c r="AG1" s="7">
        <v>42491</v>
      </c>
      <c r="AH1" s="7">
        <v>42522</v>
      </c>
      <c r="AI1" s="7">
        <v>42552</v>
      </c>
      <c r="AJ1" s="7">
        <v>42583</v>
      </c>
      <c r="AK1" s="7">
        <v>42614</v>
      </c>
      <c r="AL1" s="7">
        <v>42644</v>
      </c>
      <c r="AM1" s="7">
        <v>42675</v>
      </c>
      <c r="AN1" s="7">
        <v>42705</v>
      </c>
      <c r="AO1" s="7">
        <v>42736</v>
      </c>
      <c r="AP1" s="7">
        <v>42767</v>
      </c>
      <c r="AQ1" s="7">
        <v>42795</v>
      </c>
      <c r="AR1" s="7">
        <v>42826</v>
      </c>
      <c r="AS1" s="7">
        <v>42856</v>
      </c>
      <c r="AT1" s="7">
        <v>42887</v>
      </c>
      <c r="AU1" s="7">
        <v>42917</v>
      </c>
      <c r="AV1" s="7">
        <v>42948</v>
      </c>
      <c r="AW1" s="7">
        <v>42979</v>
      </c>
      <c r="AX1" s="7">
        <v>43009</v>
      </c>
      <c r="AY1" s="7">
        <v>43040</v>
      </c>
      <c r="AZ1" s="7">
        <v>43070</v>
      </c>
      <c r="BA1" s="7">
        <v>43101</v>
      </c>
      <c r="BB1" s="7">
        <v>43132</v>
      </c>
      <c r="BC1" s="7">
        <v>43160</v>
      </c>
      <c r="BD1" s="7">
        <v>43191</v>
      </c>
      <c r="BE1" s="7">
        <v>43221</v>
      </c>
      <c r="BF1" s="7">
        <v>43252</v>
      </c>
      <c r="BG1" s="7">
        <v>43282</v>
      </c>
      <c r="BH1" s="7">
        <v>43313</v>
      </c>
      <c r="BI1" s="7">
        <v>43344</v>
      </c>
      <c r="BJ1" s="7">
        <v>43374</v>
      </c>
      <c r="BK1" s="7">
        <v>43405</v>
      </c>
      <c r="BL1" s="7">
        <v>43435</v>
      </c>
    </row>
    <row r="2" spans="1:64" x14ac:dyDescent="0.25">
      <c r="A2" s="1">
        <v>99</v>
      </c>
      <c r="B2" s="3" t="s">
        <v>147</v>
      </c>
      <c r="C2" s="3" t="s">
        <v>148</v>
      </c>
      <c r="D2" s="3" t="s">
        <v>149</v>
      </c>
      <c r="E2" s="4">
        <f>[1]P3!C286+[1]P3!D286</f>
        <v>0</v>
      </c>
      <c r="F2" s="4">
        <f>[1]P3!E286</f>
        <v>0</v>
      </c>
      <c r="G2" s="4">
        <f>[1]P3!F286</f>
        <v>0</v>
      </c>
      <c r="H2" s="4">
        <f>[1]P3!G286</f>
        <v>0</v>
      </c>
      <c r="I2" s="4">
        <f>[1]P3!H286</f>
        <v>0</v>
      </c>
      <c r="J2" s="4">
        <f>[1]P3!I286</f>
        <v>0</v>
      </c>
      <c r="K2" s="4">
        <f>[1]P3!J286</f>
        <v>0</v>
      </c>
      <c r="L2" s="4">
        <f>[1]P3!K286</f>
        <v>0</v>
      </c>
      <c r="M2" s="4">
        <f>[1]P3!L286</f>
        <v>0</v>
      </c>
      <c r="N2" s="4">
        <f>[1]P3!M286</f>
        <v>0</v>
      </c>
      <c r="O2" s="4">
        <f>[1]P3!N286</f>
        <v>0</v>
      </c>
      <c r="P2" s="4">
        <f>[1]P3!O286</f>
        <v>633225900</v>
      </c>
      <c r="Q2" s="4">
        <v>655365800</v>
      </c>
      <c r="R2" s="4">
        <v>501635500</v>
      </c>
      <c r="S2" s="4">
        <v>568536100</v>
      </c>
      <c r="T2" s="4">
        <v>556070200</v>
      </c>
      <c r="U2" s="4">
        <v>569390900</v>
      </c>
      <c r="V2" s="4">
        <v>582916900</v>
      </c>
      <c r="W2" s="4">
        <v>601202029</v>
      </c>
      <c r="X2" s="4">
        <v>593343500</v>
      </c>
      <c r="Y2" s="4">
        <v>564905500</v>
      </c>
      <c r="Z2" s="4">
        <v>613282500</v>
      </c>
      <c r="AA2" s="4">
        <v>607914900</v>
      </c>
      <c r="AB2" s="4">
        <v>742967950</v>
      </c>
      <c r="AC2" s="4">
        <v>734081100</v>
      </c>
      <c r="AD2" s="4">
        <v>599925400</v>
      </c>
      <c r="AE2" s="4">
        <v>670704200</v>
      </c>
      <c r="AF2" s="4">
        <v>588188700</v>
      </c>
      <c r="AG2" s="4">
        <v>646357200</v>
      </c>
      <c r="AH2" s="4">
        <v>661336500</v>
      </c>
      <c r="AI2" s="4">
        <v>699778100</v>
      </c>
      <c r="AJ2" s="4">
        <v>691698200</v>
      </c>
      <c r="AK2" s="4">
        <v>658577400</v>
      </c>
      <c r="AL2" s="4">
        <v>709349700</v>
      </c>
      <c r="AM2" s="4">
        <v>706227000</v>
      </c>
      <c r="AN2" s="4">
        <v>803528400</v>
      </c>
      <c r="AO2" s="4">
        <v>826667600</v>
      </c>
      <c r="AP2" s="4">
        <v>667394100</v>
      </c>
      <c r="AQ2" s="4">
        <v>760795600</v>
      </c>
      <c r="AR2" s="4">
        <v>762151800</v>
      </c>
      <c r="AS2" s="4">
        <v>763950500</v>
      </c>
      <c r="AT2" s="4">
        <v>742053600</v>
      </c>
      <c r="AU2" s="4">
        <v>801009500</v>
      </c>
      <c r="AV2" s="4">
        <v>767779200</v>
      </c>
      <c r="AW2" s="4">
        <v>702351000</v>
      </c>
      <c r="AX2" s="4">
        <v>717103900</v>
      </c>
      <c r="AY2" s="4">
        <v>816278700</v>
      </c>
      <c r="AZ2" s="4">
        <v>919063600</v>
      </c>
      <c r="BA2" s="4">
        <v>1354646000</v>
      </c>
      <c r="BB2" s="4">
        <v>1552919150</v>
      </c>
      <c r="BC2" s="4">
        <v>1430949000</v>
      </c>
      <c r="BD2" s="4">
        <v>1107747800</v>
      </c>
      <c r="BE2" s="4">
        <v>1217613100</v>
      </c>
      <c r="BF2" s="4">
        <v>1584564500</v>
      </c>
      <c r="BG2" s="4">
        <v>1925055900</v>
      </c>
      <c r="BH2" s="4">
        <v>1927190700</v>
      </c>
      <c r="BI2" s="4">
        <v>1712171500</v>
      </c>
      <c r="BJ2" s="4">
        <v>1859298900</v>
      </c>
      <c r="BK2" s="4">
        <v>1812760800</v>
      </c>
      <c r="BL2" s="4">
        <v>1925974100</v>
      </c>
    </row>
    <row r="3" spans="1:64" x14ac:dyDescent="0.25">
      <c r="A3" s="1">
        <v>78</v>
      </c>
      <c r="B3" s="3" t="s">
        <v>112</v>
      </c>
      <c r="C3" s="3" t="s">
        <v>113</v>
      </c>
      <c r="D3" s="3" t="s">
        <v>114</v>
      </c>
      <c r="E3" s="4">
        <f>[1]RDS2!C286+[1]RDS2!D286</f>
        <v>2561479700</v>
      </c>
      <c r="F3" s="4">
        <f>[1]RDS2!E286</f>
        <v>1987096100</v>
      </c>
      <c r="G3" s="4">
        <f>[1]RDS2!F286</f>
        <v>2102758800</v>
      </c>
      <c r="H3" s="4">
        <f>[1]RDS2!G286</f>
        <v>2307533200</v>
      </c>
      <c r="I3" s="4">
        <f>[1]RDS2!H286</f>
        <v>1298448700</v>
      </c>
      <c r="J3" s="4">
        <f>[1]RDS2!I286</f>
        <v>2265932200</v>
      </c>
      <c r="K3" s="4">
        <f>[1]RDS2!J286</f>
        <v>2525486800</v>
      </c>
      <c r="L3" s="4">
        <f>[1]RDS2!K286</f>
        <v>2293193000</v>
      </c>
      <c r="M3" s="4">
        <f>[1]RDS2!L286</f>
        <v>2347483800</v>
      </c>
      <c r="N3" s="4">
        <f>[1]RDS2!M286</f>
        <v>2558532300</v>
      </c>
      <c r="O3" s="4">
        <f>[1]RDS2!N286</f>
        <v>2089922900</v>
      </c>
      <c r="P3" s="4">
        <f>[1]RDS2!O286</f>
        <v>2443851600</v>
      </c>
      <c r="Q3" s="4">
        <v>2532499000</v>
      </c>
      <c r="R3" s="4">
        <v>2221603700</v>
      </c>
      <c r="S3" s="4">
        <v>2409368100</v>
      </c>
      <c r="T3" s="4">
        <v>2357129900</v>
      </c>
      <c r="U3" s="4">
        <v>2368200100</v>
      </c>
      <c r="V3" s="4">
        <v>2368160500</v>
      </c>
      <c r="W3" s="4">
        <v>2800752900</v>
      </c>
      <c r="X3" s="4">
        <v>2787167500</v>
      </c>
      <c r="Y3" s="4">
        <v>2675038000</v>
      </c>
      <c r="Z3" s="4">
        <v>2842764400</v>
      </c>
      <c r="AA3" s="4">
        <v>2697742100</v>
      </c>
      <c r="AB3" s="4">
        <v>2969306600</v>
      </c>
      <c r="AC3" s="4">
        <v>3063540700</v>
      </c>
      <c r="AD3" s="4">
        <v>2457978800</v>
      </c>
      <c r="AE3" s="4">
        <v>2685764700</v>
      </c>
      <c r="AF3" s="4">
        <v>2546234700</v>
      </c>
      <c r="AG3" s="4">
        <v>2491920100</v>
      </c>
      <c r="AH3" s="4">
        <v>2597787900</v>
      </c>
      <c r="AI3" s="4">
        <v>2388458400</v>
      </c>
      <c r="AJ3" s="4">
        <v>2734145200</v>
      </c>
      <c r="AK3" s="4">
        <v>2579418500</v>
      </c>
      <c r="AL3" s="4">
        <v>2741272300</v>
      </c>
      <c r="AM3" s="4">
        <v>2622276500</v>
      </c>
      <c r="AN3" s="4">
        <v>3065557200</v>
      </c>
      <c r="AO3" s="4">
        <v>3295425100</v>
      </c>
      <c r="AP3" s="4">
        <v>2577829600</v>
      </c>
      <c r="AQ3" s="4">
        <v>2767695600</v>
      </c>
      <c r="AR3" s="4">
        <v>2824812100</v>
      </c>
      <c r="AS3" s="4">
        <v>2679812400</v>
      </c>
      <c r="AT3" s="4">
        <v>2805698300</v>
      </c>
      <c r="AU3" s="4">
        <v>2773621500</v>
      </c>
      <c r="AV3" s="4">
        <v>2786738900</v>
      </c>
      <c r="AW3" s="4">
        <v>2742259100</v>
      </c>
      <c r="AX3" s="4">
        <v>1893404600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</row>
    <row r="4" spans="1:64" x14ac:dyDescent="0.25">
      <c r="A4" s="1">
        <v>52</v>
      </c>
      <c r="B4" s="3" t="s">
        <v>79</v>
      </c>
      <c r="C4" s="3" t="s">
        <v>80</v>
      </c>
      <c r="D4" s="3" t="s">
        <v>81</v>
      </c>
      <c r="E4" s="4">
        <f>[1]BTS!C286+[1]BTS!D286</f>
        <v>2814532500</v>
      </c>
      <c r="F4" s="4">
        <f>[1]BTS!E286</f>
        <v>2150715500</v>
      </c>
      <c r="G4" s="4">
        <f>[1]BTS!F286</f>
        <v>2454205500</v>
      </c>
      <c r="H4" s="4">
        <f>[1]BTS!G286</f>
        <v>2514977300</v>
      </c>
      <c r="I4" s="4">
        <f>[1]BTS!H286</f>
        <v>2133125800</v>
      </c>
      <c r="J4" s="4">
        <f>[1]BTS!I286</f>
        <v>2538499800</v>
      </c>
      <c r="K4" s="4">
        <f>[1]BTS!J286</f>
        <v>2460351400</v>
      </c>
      <c r="L4" s="4">
        <f>[1]BTS!K286</f>
        <v>2594860700</v>
      </c>
      <c r="M4" s="4">
        <f>[1]BTS!L286</f>
        <v>2286220800</v>
      </c>
      <c r="N4" s="4">
        <f>[1]BTS!M286</f>
        <v>2620097900</v>
      </c>
      <c r="O4" s="4">
        <f>[1]BTS!N286</f>
        <v>2520503000</v>
      </c>
      <c r="P4" s="4">
        <f>[1]BTS!O286</f>
        <v>3330089000</v>
      </c>
      <c r="Q4" s="4">
        <v>3178927200</v>
      </c>
      <c r="R4" s="4">
        <v>2371863000</v>
      </c>
      <c r="S4" s="4">
        <v>2477350700</v>
      </c>
      <c r="T4" s="4">
        <v>2812975600</v>
      </c>
      <c r="U4" s="4">
        <v>2860793700</v>
      </c>
      <c r="V4" s="4">
        <v>2968398800</v>
      </c>
      <c r="W4" s="4">
        <v>2899597800</v>
      </c>
      <c r="X4" s="4">
        <v>2866244100</v>
      </c>
      <c r="Y4" s="4">
        <v>2568048700</v>
      </c>
      <c r="Z4" s="4">
        <v>2977725400</v>
      </c>
      <c r="AA4" s="4">
        <v>2822675900</v>
      </c>
      <c r="AB4" s="4">
        <v>3716218800</v>
      </c>
      <c r="AC4" s="4">
        <v>3441440200</v>
      </c>
      <c r="AD4" s="4">
        <v>2654732550</v>
      </c>
      <c r="AE4" s="4">
        <v>3333470000</v>
      </c>
      <c r="AF4" s="4">
        <v>2660926350</v>
      </c>
      <c r="AG4" s="4">
        <v>3043249950</v>
      </c>
      <c r="AH4" s="4">
        <v>2723498700</v>
      </c>
      <c r="AI4" s="4">
        <v>2450402650</v>
      </c>
      <c r="AJ4" s="4">
        <v>3211851900</v>
      </c>
      <c r="AK4" s="4">
        <v>2830068250</v>
      </c>
      <c r="AL4" s="4">
        <v>3183902950</v>
      </c>
      <c r="AM4" s="4">
        <v>3024431200</v>
      </c>
      <c r="AN4" s="4">
        <v>4008517050</v>
      </c>
      <c r="AO4" s="4">
        <v>3734202700</v>
      </c>
      <c r="AP4" s="4">
        <v>2916730050</v>
      </c>
      <c r="AQ4" s="4">
        <v>3195804850</v>
      </c>
      <c r="AR4" s="4">
        <v>3457976700</v>
      </c>
      <c r="AS4" s="4">
        <v>3253392850</v>
      </c>
      <c r="AT4" s="4">
        <v>3329043050</v>
      </c>
      <c r="AU4" s="4">
        <v>3521676000</v>
      </c>
      <c r="AV4" s="4">
        <v>3519567750</v>
      </c>
      <c r="AW4" s="4">
        <v>3066443050</v>
      </c>
      <c r="AX4" s="4">
        <v>3508570350</v>
      </c>
      <c r="AY4" s="4">
        <v>3390989350</v>
      </c>
      <c r="AZ4" s="4">
        <v>4621163150</v>
      </c>
      <c r="BA4" s="4">
        <v>4166305550</v>
      </c>
      <c r="BB4" s="4">
        <v>3050097750</v>
      </c>
      <c r="BC4" s="4">
        <v>3795024050</v>
      </c>
      <c r="BD4" s="4">
        <v>3276038050</v>
      </c>
      <c r="BE4" s="4">
        <v>3402289100</v>
      </c>
      <c r="BF4" s="4">
        <v>3752587200</v>
      </c>
      <c r="BG4" s="4">
        <v>3915513800</v>
      </c>
      <c r="BH4" s="4">
        <v>3957627650</v>
      </c>
      <c r="BI4" s="4">
        <v>3556600750</v>
      </c>
      <c r="BJ4" s="4">
        <v>3947597000</v>
      </c>
      <c r="BK4" s="4">
        <v>3906217550</v>
      </c>
      <c r="BL4" s="4">
        <v>5244128600</v>
      </c>
    </row>
    <row r="5" spans="1:64" x14ac:dyDescent="0.25">
      <c r="A5" s="1">
        <v>146</v>
      </c>
      <c r="B5" s="3" t="s">
        <v>218</v>
      </c>
      <c r="C5" s="3" t="s">
        <v>219</v>
      </c>
      <c r="D5" s="3" t="s">
        <v>220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197648700</v>
      </c>
      <c r="Z5" s="4">
        <v>779824200</v>
      </c>
      <c r="AA5" s="4">
        <v>781302100</v>
      </c>
      <c r="AB5" s="4">
        <v>912382100</v>
      </c>
      <c r="AC5" s="4">
        <v>897229200</v>
      </c>
      <c r="AD5" s="4">
        <v>727568200</v>
      </c>
      <c r="AE5" s="4">
        <v>849542000</v>
      </c>
      <c r="AF5" s="4">
        <v>775343900</v>
      </c>
      <c r="AG5" s="4">
        <v>836189800</v>
      </c>
      <c r="AH5" s="4">
        <v>782643600</v>
      </c>
      <c r="AI5" s="4">
        <v>797252500</v>
      </c>
      <c r="AJ5" s="4">
        <v>899136600</v>
      </c>
      <c r="AK5" s="4">
        <v>890835600</v>
      </c>
      <c r="AL5" s="4">
        <v>986426700</v>
      </c>
      <c r="AM5" s="4">
        <v>976688000</v>
      </c>
      <c r="AN5" s="4">
        <v>1083914600</v>
      </c>
      <c r="AO5" s="4">
        <v>1026025200</v>
      </c>
      <c r="AP5" s="4">
        <v>831348800</v>
      </c>
      <c r="AQ5" s="4">
        <v>922533400</v>
      </c>
      <c r="AR5" s="4">
        <v>945317700</v>
      </c>
      <c r="AS5" s="4">
        <v>859769500</v>
      </c>
      <c r="AT5" s="4">
        <v>907360800</v>
      </c>
      <c r="AU5" s="4">
        <v>937902900</v>
      </c>
      <c r="AV5" s="4">
        <v>937030100</v>
      </c>
      <c r="AW5" s="4">
        <v>862162100</v>
      </c>
      <c r="AX5" s="4">
        <v>913620100</v>
      </c>
      <c r="AY5" s="4">
        <v>909386800</v>
      </c>
      <c r="AZ5" s="4">
        <v>1047607000</v>
      </c>
      <c r="BA5" s="4">
        <v>1052404750</v>
      </c>
      <c r="BB5" s="4">
        <v>820941300</v>
      </c>
      <c r="BC5" s="4">
        <v>964838000</v>
      </c>
      <c r="BD5" s="4">
        <v>832832200</v>
      </c>
      <c r="BE5" s="4">
        <v>883287900</v>
      </c>
      <c r="BF5" s="4">
        <v>842452800</v>
      </c>
      <c r="BG5" s="4">
        <v>878718500</v>
      </c>
      <c r="BH5" s="4">
        <v>878398600</v>
      </c>
      <c r="BI5" s="4">
        <v>851838800</v>
      </c>
      <c r="BJ5" s="4">
        <v>946871200</v>
      </c>
      <c r="BK5" s="4">
        <v>951010200</v>
      </c>
      <c r="BL5" s="4">
        <v>1088629800</v>
      </c>
    </row>
    <row r="6" spans="1:64" x14ac:dyDescent="0.25">
      <c r="A6" s="1">
        <v>34</v>
      </c>
      <c r="B6" s="3" t="s">
        <v>53</v>
      </c>
      <c r="C6" s="3" t="s">
        <v>54</v>
      </c>
      <c r="D6" s="3" t="s">
        <v>55</v>
      </c>
      <c r="E6" s="4">
        <f>[1]SMP!C426+[1]SMP!D426</f>
        <v>801339700</v>
      </c>
      <c r="F6" s="4">
        <f>[1]SMP!E426</f>
        <v>630348700</v>
      </c>
      <c r="G6" s="4">
        <f>[1]SMP!F426</f>
        <v>664797400</v>
      </c>
      <c r="H6" s="4">
        <f>[1]SMP!G426</f>
        <v>677427600</v>
      </c>
      <c r="I6" s="4">
        <f>[1]SMP!H426</f>
        <v>673955900</v>
      </c>
      <c r="J6" s="4">
        <f>[1]SMP!I426</f>
        <v>685687500</v>
      </c>
      <c r="K6" s="4">
        <f>[1]SMP!J426</f>
        <v>720575500</v>
      </c>
      <c r="L6" s="4">
        <f>[1]SMP!K426</f>
        <v>690469500</v>
      </c>
      <c r="M6" s="4">
        <f>[1]SMP!L426</f>
        <v>638940100</v>
      </c>
      <c r="N6" s="4">
        <f>[1]SMP!M426</f>
        <v>624087200</v>
      </c>
      <c r="O6" s="4">
        <f>[1]SMP!N426</f>
        <v>632359900</v>
      </c>
      <c r="P6" s="4">
        <f>[1]SMP!O426</f>
        <v>726667100</v>
      </c>
      <c r="Q6" s="4">
        <v>672715700</v>
      </c>
      <c r="R6" s="4">
        <v>552913500</v>
      </c>
      <c r="S6" s="4">
        <v>644531100</v>
      </c>
      <c r="T6" s="4">
        <v>634068600</v>
      </c>
      <c r="U6" s="4">
        <v>684715100</v>
      </c>
      <c r="V6" s="4">
        <v>645065300</v>
      </c>
      <c r="W6" s="4">
        <v>660786800</v>
      </c>
      <c r="X6" s="4">
        <v>680563600</v>
      </c>
      <c r="Y6" s="4">
        <v>577708200</v>
      </c>
      <c r="Z6" s="4">
        <v>647896600</v>
      </c>
      <c r="AA6" s="4">
        <v>613582200</v>
      </c>
      <c r="AB6" s="4">
        <v>763583800</v>
      </c>
      <c r="AC6" s="4">
        <v>711399300</v>
      </c>
      <c r="AD6" s="4">
        <v>658404800</v>
      </c>
      <c r="AE6" s="4">
        <v>742849600</v>
      </c>
      <c r="AF6" s="4">
        <v>700097200</v>
      </c>
      <c r="AG6" s="4">
        <v>840477200</v>
      </c>
      <c r="AH6" s="4">
        <v>775326500</v>
      </c>
      <c r="AI6" s="4">
        <v>779730000</v>
      </c>
      <c r="AJ6" s="4">
        <v>764325800</v>
      </c>
      <c r="AK6" s="4">
        <v>729998300</v>
      </c>
      <c r="AL6" s="4">
        <v>772537000</v>
      </c>
      <c r="AM6" s="4">
        <v>821051400</v>
      </c>
      <c r="AN6" s="4">
        <v>938535100</v>
      </c>
      <c r="AO6" s="4">
        <v>854625100</v>
      </c>
      <c r="AP6" s="4">
        <v>787179300</v>
      </c>
      <c r="AQ6" s="4">
        <v>909125900</v>
      </c>
      <c r="AR6" s="4">
        <v>855524700</v>
      </c>
      <c r="AS6" s="4">
        <v>1032711600</v>
      </c>
      <c r="AT6" s="4">
        <v>936704200</v>
      </c>
      <c r="AU6" s="4">
        <v>1037302800</v>
      </c>
      <c r="AV6" s="4">
        <v>1027317400</v>
      </c>
      <c r="AW6" s="4">
        <v>949416200</v>
      </c>
      <c r="AX6" s="4">
        <v>1011560700</v>
      </c>
      <c r="AY6" s="4">
        <v>905728600</v>
      </c>
      <c r="AZ6" s="4">
        <v>1116498900</v>
      </c>
      <c r="BA6" s="4">
        <v>1040235000</v>
      </c>
      <c r="BB6" s="4">
        <v>901487100</v>
      </c>
      <c r="BC6" s="4">
        <v>1047426700</v>
      </c>
      <c r="BD6" s="4">
        <v>999982600</v>
      </c>
      <c r="BE6" s="4">
        <v>994672300</v>
      </c>
      <c r="BF6" s="4">
        <v>958756300</v>
      </c>
      <c r="BG6" s="4">
        <v>1015934600</v>
      </c>
      <c r="BH6" s="4">
        <v>991399700</v>
      </c>
      <c r="BI6" s="4">
        <v>961139300</v>
      </c>
      <c r="BJ6" s="4">
        <v>952158600</v>
      </c>
      <c r="BK6" s="4">
        <v>955777300</v>
      </c>
      <c r="BL6" s="4">
        <v>1225961600</v>
      </c>
    </row>
    <row r="7" spans="1:64" x14ac:dyDescent="0.25">
      <c r="A7" s="1">
        <v>123</v>
      </c>
      <c r="B7" s="3" t="s">
        <v>185</v>
      </c>
      <c r="C7" s="3" t="s">
        <v>186</v>
      </c>
      <c r="D7" s="3" t="s">
        <v>187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430320000</v>
      </c>
      <c r="Y7" s="4">
        <v>1282064400</v>
      </c>
      <c r="Z7" s="4">
        <v>1392954400</v>
      </c>
      <c r="AA7" s="4">
        <v>1370377100</v>
      </c>
      <c r="AB7" s="4">
        <v>1584199700</v>
      </c>
      <c r="AC7" s="4">
        <v>1659429200</v>
      </c>
      <c r="AD7" s="4">
        <v>1320767100</v>
      </c>
      <c r="AE7" s="4">
        <v>1451902800</v>
      </c>
      <c r="AF7" s="4">
        <v>1400596000</v>
      </c>
      <c r="AG7" s="4">
        <v>1410749500</v>
      </c>
      <c r="AH7" s="4">
        <v>1422936500</v>
      </c>
      <c r="AI7" s="4">
        <v>1408058500</v>
      </c>
      <c r="AJ7" s="4">
        <v>1510539700</v>
      </c>
      <c r="AK7" s="4">
        <v>1471005900</v>
      </c>
      <c r="AL7" s="4">
        <v>1936345000</v>
      </c>
      <c r="AM7" s="4">
        <v>1873130100</v>
      </c>
      <c r="AN7" s="4">
        <v>2102307900</v>
      </c>
      <c r="AO7" s="4">
        <v>2227833900</v>
      </c>
      <c r="AP7" s="4">
        <v>1769182500</v>
      </c>
      <c r="AQ7" s="4">
        <v>1974480000</v>
      </c>
      <c r="AR7" s="4">
        <v>1963204300</v>
      </c>
      <c r="AS7" s="4">
        <v>1979664050</v>
      </c>
      <c r="AT7" s="4">
        <v>2040760100</v>
      </c>
      <c r="AU7" s="4">
        <v>2100175750</v>
      </c>
      <c r="AV7" s="4">
        <v>2070701600</v>
      </c>
      <c r="AW7" s="4">
        <v>1922039100</v>
      </c>
      <c r="AX7" s="4">
        <v>2012781000</v>
      </c>
      <c r="AY7" s="4">
        <v>1975753550</v>
      </c>
      <c r="AZ7" s="4">
        <v>2192795200</v>
      </c>
      <c r="BA7" s="4">
        <v>2323889900</v>
      </c>
      <c r="BB7" s="4">
        <v>1796297350</v>
      </c>
      <c r="BC7" s="4">
        <v>2084340600</v>
      </c>
      <c r="BD7" s="4">
        <v>1961084950</v>
      </c>
      <c r="BE7" s="4">
        <v>2001270000</v>
      </c>
      <c r="BF7" s="4">
        <v>2051161800</v>
      </c>
      <c r="BG7" s="4">
        <v>2109909700</v>
      </c>
      <c r="BH7" s="4">
        <v>2109416500</v>
      </c>
      <c r="BI7" s="4">
        <v>1978283100</v>
      </c>
      <c r="BJ7" s="4">
        <v>2077298650</v>
      </c>
      <c r="BK7" s="4">
        <v>1962879400</v>
      </c>
      <c r="BL7" s="4">
        <v>2167650700</v>
      </c>
    </row>
    <row r="8" spans="1:64" x14ac:dyDescent="0.25">
      <c r="A8" s="1">
        <v>96</v>
      </c>
      <c r="B8" s="3" t="s">
        <v>140</v>
      </c>
      <c r="C8" s="3" t="s">
        <v>141</v>
      </c>
      <c r="D8" s="3" t="s">
        <v>142</v>
      </c>
      <c r="E8" s="4">
        <f>[1]P1!C146+[1]P1!D146</f>
        <v>0</v>
      </c>
      <c r="F8" s="4">
        <f>[1]P1!E146</f>
        <v>0</v>
      </c>
      <c r="G8" s="4">
        <f>[1]P1!F146</f>
        <v>0</v>
      </c>
      <c r="H8" s="4">
        <f>[1]P1!G146</f>
        <v>0</v>
      </c>
      <c r="I8" s="4">
        <f>[1]P1!H146</f>
        <v>0</v>
      </c>
      <c r="J8" s="4">
        <f>[1]P1!I146</f>
        <v>0</v>
      </c>
      <c r="K8" s="4">
        <f>[1]P1!J146</f>
        <v>0</v>
      </c>
      <c r="L8" s="4">
        <f>[1]P1!K146</f>
        <v>0</v>
      </c>
      <c r="M8" s="4">
        <f>[1]P1!L146</f>
        <v>0</v>
      </c>
      <c r="N8" s="4">
        <f>[1]P1!M146</f>
        <v>0</v>
      </c>
      <c r="O8" s="4">
        <f>[1]P1!N146</f>
        <v>1351948900</v>
      </c>
      <c r="P8" s="4">
        <f>[1]P1!O146</f>
        <v>1582020700</v>
      </c>
      <c r="Q8" s="4">
        <v>1522259300</v>
      </c>
      <c r="R8" s="4">
        <v>1224401900</v>
      </c>
      <c r="S8" s="4">
        <v>1412592500</v>
      </c>
      <c r="T8" s="4">
        <v>1374062000</v>
      </c>
      <c r="U8" s="4">
        <v>1545062000</v>
      </c>
      <c r="V8" s="4">
        <v>1584246600</v>
      </c>
      <c r="W8" s="4">
        <v>1477023900</v>
      </c>
      <c r="X8" s="4">
        <v>1533025650</v>
      </c>
      <c r="Y8" s="4">
        <v>1443723200</v>
      </c>
      <c r="Z8" s="4">
        <v>1606358050</v>
      </c>
      <c r="AA8" s="4">
        <v>1388381100</v>
      </c>
      <c r="AB8" s="4">
        <v>1713478100</v>
      </c>
      <c r="AC8" s="4">
        <v>1723802500</v>
      </c>
      <c r="AD8" s="4">
        <v>1559518400</v>
      </c>
      <c r="AE8" s="4">
        <v>1842971250</v>
      </c>
      <c r="AF8" s="4">
        <v>1633986600</v>
      </c>
      <c r="AG8" s="4">
        <v>1775509350</v>
      </c>
      <c r="AH8" s="4">
        <v>1676150150</v>
      </c>
      <c r="AI8" s="4">
        <v>1696085700</v>
      </c>
      <c r="AJ8" s="4">
        <v>1867129350</v>
      </c>
      <c r="AK8" s="4">
        <v>1601802800</v>
      </c>
      <c r="AL8" s="4">
        <v>1711778700</v>
      </c>
      <c r="AM8" s="4">
        <v>1619610800</v>
      </c>
      <c r="AN8" s="4">
        <v>1864110800</v>
      </c>
      <c r="AO8" s="4">
        <v>1874218800</v>
      </c>
      <c r="AP8" s="4">
        <v>1571031750</v>
      </c>
      <c r="AQ8" s="4">
        <v>1705003600</v>
      </c>
      <c r="AR8" s="4">
        <v>1795704000</v>
      </c>
      <c r="AS8" s="4">
        <v>1771529850</v>
      </c>
      <c r="AT8" s="4">
        <v>1842385800</v>
      </c>
      <c r="AU8" s="4">
        <v>1901705000</v>
      </c>
      <c r="AV8" s="4">
        <v>1808113500</v>
      </c>
      <c r="AW8" s="4">
        <v>1548714300</v>
      </c>
      <c r="AX8" s="4">
        <v>1823240100</v>
      </c>
      <c r="AY8" s="4">
        <v>1855354050</v>
      </c>
      <c r="AZ8" s="4">
        <v>2163210550</v>
      </c>
      <c r="BA8" s="4">
        <v>2100717800</v>
      </c>
      <c r="BB8" s="4">
        <v>1663976350</v>
      </c>
      <c r="BC8" s="4">
        <v>2030450300</v>
      </c>
      <c r="BD8" s="4">
        <v>1821062100</v>
      </c>
      <c r="BE8" s="4">
        <v>1226332200</v>
      </c>
      <c r="BF8" s="4">
        <v>1530527600</v>
      </c>
      <c r="BG8" s="4">
        <v>1773198150</v>
      </c>
      <c r="BH8" s="4">
        <v>1899270950</v>
      </c>
      <c r="BI8" s="4">
        <v>1758902300</v>
      </c>
      <c r="BJ8" s="4">
        <v>1852465800</v>
      </c>
      <c r="BK8" s="4">
        <v>1866120750</v>
      </c>
      <c r="BL8" s="4">
        <v>2185983800</v>
      </c>
    </row>
    <row r="9" spans="1:64" s="10" customFormat="1" x14ac:dyDescent="0.25">
      <c r="A9" s="8">
        <v>17</v>
      </c>
      <c r="B9" s="8" t="s">
        <v>26</v>
      </c>
      <c r="C9" s="8" t="s">
        <v>27</v>
      </c>
      <c r="D9" s="8" t="s">
        <v>28</v>
      </c>
      <c r="E9" s="11">
        <f>[1]DVN!C146+[1]DVN!D146</f>
        <v>7952524200</v>
      </c>
      <c r="F9" s="11">
        <f>[1]DVN!E146</f>
        <v>7590463100</v>
      </c>
      <c r="G9" s="11">
        <f>[1]DVN!F146</f>
        <v>8330167150</v>
      </c>
      <c r="H9" s="11">
        <f>[1]DVN!G146</f>
        <v>7900818950</v>
      </c>
      <c r="I9" s="11">
        <f>[1]DVN!H146</f>
        <v>8560416350</v>
      </c>
      <c r="J9" s="11">
        <f>[1]DVN!I146</f>
        <v>7901251600</v>
      </c>
      <c r="K9" s="11">
        <f>[1]DVN!J146</f>
        <v>8213085500</v>
      </c>
      <c r="L9" s="11">
        <f>[1]DVN!K146</f>
        <v>8616967700</v>
      </c>
      <c r="M9" s="11">
        <f>[1]DVN!L146</f>
        <v>8315652000</v>
      </c>
      <c r="N9" s="11">
        <f>[1]DVN!M146</f>
        <v>8833611700</v>
      </c>
      <c r="O9" s="11">
        <f>[1]DVN!N146</f>
        <v>8604355650</v>
      </c>
      <c r="P9" s="11">
        <f>[1]DVN!O146</f>
        <v>9485373900</v>
      </c>
      <c r="Q9" s="11">
        <v>8626914600</v>
      </c>
      <c r="R9" s="11">
        <v>8178627200</v>
      </c>
      <c r="S9" s="11">
        <v>8890285400</v>
      </c>
      <c r="T9" s="11">
        <v>8566835900</v>
      </c>
      <c r="U9" s="11">
        <v>9107857800</v>
      </c>
      <c r="V9" s="11">
        <v>8615388500</v>
      </c>
      <c r="W9" s="11">
        <v>9023156500</v>
      </c>
      <c r="X9" s="11">
        <v>9314743700</v>
      </c>
      <c r="Y9" s="11">
        <v>8926831500</v>
      </c>
      <c r="Z9" s="11">
        <v>9549252000</v>
      </c>
      <c r="AA9" s="11">
        <v>9129779150</v>
      </c>
      <c r="AB9" s="11">
        <v>10253382900</v>
      </c>
      <c r="AC9" s="11">
        <v>9341236050</v>
      </c>
      <c r="AD9" s="11">
        <v>9225758450</v>
      </c>
      <c r="AE9" s="11">
        <v>9642000100</v>
      </c>
      <c r="AF9" s="11">
        <v>9415170700</v>
      </c>
      <c r="AG9" s="11">
        <v>9716389200</v>
      </c>
      <c r="AH9" s="11">
        <v>9432692900</v>
      </c>
      <c r="AI9" s="11">
        <v>9328062400</v>
      </c>
      <c r="AJ9" s="11">
        <v>10124754700</v>
      </c>
      <c r="AK9" s="11">
        <v>10043278500</v>
      </c>
      <c r="AL9" s="11">
        <v>10282978900</v>
      </c>
      <c r="AM9" s="11">
        <v>10078784000</v>
      </c>
      <c r="AN9" s="11">
        <v>11289089550</v>
      </c>
      <c r="AO9" s="11">
        <v>10282652200</v>
      </c>
      <c r="AP9" s="11">
        <v>9721834100</v>
      </c>
      <c r="AQ9" s="11">
        <v>10595682000</v>
      </c>
      <c r="AR9" s="11">
        <v>10235129800</v>
      </c>
      <c r="AS9" s="11">
        <v>10646481600</v>
      </c>
      <c r="AT9" s="11">
        <v>10594031200</v>
      </c>
      <c r="AU9" s="11">
        <v>10830009500</v>
      </c>
      <c r="AV9" s="11">
        <v>11118015000</v>
      </c>
      <c r="AW9" s="11">
        <v>10668350600</v>
      </c>
      <c r="AX9" s="11">
        <v>11089080700</v>
      </c>
      <c r="AY9" s="11">
        <v>10814534500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</row>
    <row r="10" spans="1:64" s="10" customFormat="1" x14ac:dyDescent="0.25">
      <c r="A10" s="8">
        <v>112</v>
      </c>
      <c r="B10" s="8" t="s">
        <v>175</v>
      </c>
      <c r="C10" s="8" t="s">
        <v>176</v>
      </c>
      <c r="D10" s="8" t="s">
        <v>28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11839252300</v>
      </c>
      <c r="BA10" s="11">
        <v>10709340300</v>
      </c>
      <c r="BB10" s="11">
        <v>10219396200</v>
      </c>
      <c r="BC10" s="11">
        <v>11336499100</v>
      </c>
      <c r="BD10" s="11">
        <v>10816977600</v>
      </c>
      <c r="BE10" s="11">
        <v>11472514050</v>
      </c>
      <c r="BF10" s="11">
        <v>11208580800</v>
      </c>
      <c r="BG10" s="11">
        <v>11232762300</v>
      </c>
      <c r="BH10" s="11">
        <v>12102361800</v>
      </c>
      <c r="BI10" s="11">
        <v>11508458600</v>
      </c>
      <c r="BJ10" s="11">
        <v>11774805400</v>
      </c>
      <c r="BK10" s="11">
        <v>11426322300</v>
      </c>
      <c r="BL10" s="11">
        <v>12552733500</v>
      </c>
    </row>
    <row r="11" spans="1:64" x14ac:dyDescent="0.25">
      <c r="A11" s="1">
        <v>70</v>
      </c>
      <c r="B11" s="3" t="s">
        <v>100</v>
      </c>
      <c r="C11" s="3" t="s">
        <v>101</v>
      </c>
      <c r="D11" s="3" t="s">
        <v>102</v>
      </c>
      <c r="E11" s="4">
        <v>1174686600</v>
      </c>
      <c r="F11" s="4">
        <v>1137150300</v>
      </c>
      <c r="G11" s="4">
        <v>1300411700</v>
      </c>
      <c r="H11" s="4">
        <v>1240822050</v>
      </c>
      <c r="I11" s="4">
        <v>1228851300</v>
      </c>
      <c r="J11" s="4">
        <v>1184014500</v>
      </c>
      <c r="K11" s="4">
        <v>1279117500</v>
      </c>
      <c r="L11" s="4">
        <v>1235306900</v>
      </c>
      <c r="M11" s="4">
        <v>1200563000</v>
      </c>
      <c r="N11" s="4">
        <v>1218377300</v>
      </c>
      <c r="O11" s="4">
        <v>1110101800</v>
      </c>
      <c r="P11" s="4">
        <v>1251137300</v>
      </c>
      <c r="Q11" s="4">
        <v>1249659300</v>
      </c>
      <c r="R11" s="4">
        <v>1172152600</v>
      </c>
      <c r="S11" s="4">
        <v>1304123700</v>
      </c>
      <c r="T11" s="4">
        <v>1251089100</v>
      </c>
      <c r="U11" s="4">
        <v>1245840700</v>
      </c>
      <c r="V11" s="4">
        <v>1249526500</v>
      </c>
      <c r="W11" s="4">
        <v>1324249100</v>
      </c>
      <c r="X11" s="4">
        <v>1288509700</v>
      </c>
      <c r="Y11" s="4">
        <v>1277725650</v>
      </c>
      <c r="Z11" s="4">
        <v>1439170800</v>
      </c>
      <c r="AA11" s="4">
        <v>1346416200</v>
      </c>
      <c r="AB11" s="4">
        <v>1434160900</v>
      </c>
      <c r="AC11" s="4">
        <v>1343467100</v>
      </c>
      <c r="AD11" s="4">
        <v>1305052500</v>
      </c>
      <c r="AE11" s="4">
        <v>1438935400</v>
      </c>
      <c r="AF11" s="4">
        <v>1371641100</v>
      </c>
      <c r="AG11" s="4">
        <v>1301597700</v>
      </c>
      <c r="AH11" s="4">
        <v>1333453700</v>
      </c>
      <c r="AI11" s="4">
        <v>1315090700</v>
      </c>
      <c r="AJ11" s="4">
        <v>1415666800</v>
      </c>
      <c r="AK11" s="4">
        <v>1390403100</v>
      </c>
      <c r="AL11" s="4">
        <v>1395447200</v>
      </c>
      <c r="AM11" s="4">
        <v>1376007000</v>
      </c>
      <c r="AN11" s="4">
        <v>1520075300</v>
      </c>
      <c r="AO11" s="4">
        <v>1455825650</v>
      </c>
      <c r="AP11" s="4">
        <v>1424140100</v>
      </c>
      <c r="AQ11" s="4">
        <v>1526996900</v>
      </c>
      <c r="AR11" s="4">
        <v>1435524900</v>
      </c>
      <c r="AS11" s="4">
        <v>1460024100</v>
      </c>
      <c r="AT11" s="4">
        <v>1461319200</v>
      </c>
      <c r="AU11" s="4">
        <v>1467725400</v>
      </c>
      <c r="AV11" s="4">
        <v>1553339500</v>
      </c>
      <c r="AW11" s="4">
        <v>1423128800</v>
      </c>
      <c r="AX11" s="4">
        <v>1440317800</v>
      </c>
      <c r="AY11" s="4">
        <v>1388133400</v>
      </c>
      <c r="AZ11" s="4">
        <v>1449530550</v>
      </c>
      <c r="BA11" s="4">
        <v>1417575100</v>
      </c>
      <c r="BB11" s="4">
        <v>1369770800</v>
      </c>
      <c r="BC11" s="4">
        <v>1488487700</v>
      </c>
      <c r="BD11" s="4">
        <v>1506797400</v>
      </c>
      <c r="BE11" s="4">
        <v>1461157200</v>
      </c>
      <c r="BF11" s="4">
        <v>1398270100</v>
      </c>
      <c r="BG11" s="4">
        <v>1440023300</v>
      </c>
      <c r="BH11" s="4">
        <v>1440085400</v>
      </c>
      <c r="BI11" s="4">
        <v>1380306600</v>
      </c>
      <c r="BJ11" s="4">
        <v>1484881100</v>
      </c>
      <c r="BK11" s="4">
        <v>1416189100</v>
      </c>
      <c r="BL11" s="4">
        <v>1545802200</v>
      </c>
    </row>
    <row r="12" spans="1:64" x14ac:dyDescent="0.25">
      <c r="A12" s="1"/>
      <c r="B12" s="3" t="s">
        <v>17</v>
      </c>
      <c r="C12" s="3" t="s">
        <v>18</v>
      </c>
      <c r="D12" s="3" t="s">
        <v>235</v>
      </c>
      <c r="E12" s="4">
        <v>6463583300</v>
      </c>
      <c r="F12" s="4">
        <v>5157956500</v>
      </c>
      <c r="G12" s="4">
        <v>6237259800</v>
      </c>
      <c r="H12" s="4">
        <v>6629397000</v>
      </c>
      <c r="I12" s="4">
        <v>6473889100</v>
      </c>
      <c r="J12" s="4">
        <v>6310180000</v>
      </c>
      <c r="K12" s="4">
        <v>6513972000</v>
      </c>
      <c r="L12" s="4">
        <v>6545434100</v>
      </c>
      <c r="M12" s="4">
        <v>5994938300</v>
      </c>
      <c r="N12" s="4">
        <v>6388253500</v>
      </c>
      <c r="O12" s="4">
        <v>6087661000</v>
      </c>
      <c r="P12" s="4">
        <v>6974933500</v>
      </c>
      <c r="Q12" s="4">
        <v>6609832700</v>
      </c>
      <c r="R12" s="4">
        <v>5357695400</v>
      </c>
      <c r="S12" s="4">
        <v>5946029700</v>
      </c>
      <c r="T12" s="4">
        <v>5989561100</v>
      </c>
      <c r="U12" s="4">
        <v>6132065700</v>
      </c>
      <c r="V12" s="4">
        <v>6581906900</v>
      </c>
      <c r="W12" s="4">
        <v>7470484900</v>
      </c>
      <c r="X12" s="4">
        <v>7247314400</v>
      </c>
      <c r="Y12" s="4">
        <v>6915568000</v>
      </c>
      <c r="Z12" s="4">
        <v>7327158100</v>
      </c>
      <c r="AA12" s="4">
        <v>7006261100</v>
      </c>
      <c r="AB12" s="4">
        <v>7988299600</v>
      </c>
      <c r="AC12" s="4">
        <v>7536085700</v>
      </c>
      <c r="AD12" s="4">
        <v>6216209400</v>
      </c>
      <c r="AE12" s="4">
        <v>6709165400</v>
      </c>
      <c r="AF12" s="4">
        <v>5917139500</v>
      </c>
      <c r="AG12" s="4">
        <v>5962423900</v>
      </c>
      <c r="AH12" s="4">
        <v>5861111200</v>
      </c>
      <c r="AI12" s="4">
        <v>5645120200</v>
      </c>
      <c r="AJ12" s="4">
        <v>6164949900</v>
      </c>
      <c r="AK12" s="4">
        <v>5969096000</v>
      </c>
      <c r="AL12" s="4">
        <v>6318608100</v>
      </c>
      <c r="AM12" s="4">
        <v>6216527300</v>
      </c>
      <c r="AN12" s="4">
        <v>7219417200</v>
      </c>
      <c r="AO12" s="4">
        <v>7119527900</v>
      </c>
      <c r="AP12" s="4">
        <v>5620809000</v>
      </c>
      <c r="AQ12" s="4">
        <v>6497753800</v>
      </c>
      <c r="AR12" s="4">
        <v>6554078200</v>
      </c>
      <c r="AS12" s="4">
        <v>6214560300</v>
      </c>
      <c r="AT12" s="4">
        <v>6184240300</v>
      </c>
      <c r="AU12" s="4">
        <v>6309341000</v>
      </c>
      <c r="AV12" s="4">
        <v>6640227100</v>
      </c>
      <c r="AW12" s="4">
        <v>6222837900</v>
      </c>
      <c r="AX12" s="4">
        <v>6723283900</v>
      </c>
      <c r="AY12" s="4">
        <v>6532960600</v>
      </c>
      <c r="AZ12" s="4">
        <v>7678605300</v>
      </c>
      <c r="BA12" s="4">
        <v>7475774400</v>
      </c>
      <c r="BB12" s="4">
        <v>5452340300</v>
      </c>
      <c r="BC12" s="4">
        <v>6745789600</v>
      </c>
      <c r="BD12" s="4">
        <v>6251286600</v>
      </c>
      <c r="BE12" s="4">
        <v>6112056100</v>
      </c>
      <c r="BF12" s="4">
        <v>6316902900</v>
      </c>
      <c r="BG12" s="4">
        <v>6413535200</v>
      </c>
      <c r="BH12" s="4">
        <v>5678996200</v>
      </c>
      <c r="BI12" s="4">
        <v>5820622000</v>
      </c>
      <c r="BJ12" s="4">
        <v>6887029700</v>
      </c>
      <c r="BK12" s="4">
        <v>6858445000</v>
      </c>
      <c r="BL12" s="4">
        <v>7799783800</v>
      </c>
    </row>
    <row r="13" spans="1:64" x14ac:dyDescent="0.25">
      <c r="A13" s="1">
        <v>109</v>
      </c>
      <c r="B13" s="3" t="s">
        <v>170</v>
      </c>
      <c r="C13" s="3" t="s">
        <v>171</v>
      </c>
      <c r="D13" s="3" t="s">
        <v>172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</row>
    <row r="14" spans="1:64" x14ac:dyDescent="0.25">
      <c r="A14" s="1">
        <v>115</v>
      </c>
      <c r="B14" s="3" t="s">
        <v>177</v>
      </c>
      <c r="C14" s="3" t="s">
        <v>178</v>
      </c>
      <c r="D14" s="3" t="s">
        <v>179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33560000</v>
      </c>
      <c r="AJ14" s="4">
        <v>478567050</v>
      </c>
      <c r="AK14" s="4">
        <v>386701650</v>
      </c>
      <c r="AL14" s="4">
        <v>444648000</v>
      </c>
      <c r="AM14" s="4">
        <v>428806300</v>
      </c>
      <c r="AN14" s="4">
        <v>606821500</v>
      </c>
      <c r="AO14" s="4">
        <v>937571050</v>
      </c>
      <c r="AP14" s="4">
        <v>414384500</v>
      </c>
      <c r="AQ14" s="4">
        <v>468436200</v>
      </c>
      <c r="AR14" s="4">
        <v>756210850</v>
      </c>
      <c r="AS14" s="4">
        <v>421217150</v>
      </c>
      <c r="AT14" s="4">
        <v>529709700</v>
      </c>
      <c r="AU14" s="4">
        <v>520768250</v>
      </c>
      <c r="AV14" s="4">
        <v>487806950</v>
      </c>
      <c r="AW14" s="4">
        <v>398811200</v>
      </c>
      <c r="AX14" s="4">
        <v>481222900</v>
      </c>
      <c r="AY14" s="4">
        <v>482553050</v>
      </c>
      <c r="AZ14" s="4">
        <v>646904700</v>
      </c>
      <c r="BA14" s="4">
        <v>969965800</v>
      </c>
      <c r="BB14" s="4">
        <v>421846000</v>
      </c>
      <c r="BC14" s="4">
        <v>662328800</v>
      </c>
      <c r="BD14" s="4">
        <v>454937000</v>
      </c>
      <c r="BE14" s="4">
        <v>468829750</v>
      </c>
      <c r="BF14" s="4">
        <v>690332300</v>
      </c>
      <c r="BG14" s="4">
        <v>573007500</v>
      </c>
      <c r="BH14" s="4">
        <v>479618200</v>
      </c>
      <c r="BI14" s="4">
        <v>412832900</v>
      </c>
      <c r="BJ14" s="4">
        <v>492889400</v>
      </c>
      <c r="BK14" s="4">
        <v>458752900</v>
      </c>
      <c r="BL14" s="4">
        <v>639533800</v>
      </c>
    </row>
    <row r="15" spans="1:64" x14ac:dyDescent="0.25">
      <c r="A15" s="1">
        <v>8</v>
      </c>
      <c r="B15" s="3" t="s">
        <v>13</v>
      </c>
      <c r="C15" s="3" t="s">
        <v>14</v>
      </c>
      <c r="D15" s="3" t="s">
        <v>15</v>
      </c>
      <c r="E15" s="4">
        <v>2053132700</v>
      </c>
      <c r="F15" s="4">
        <v>1242344700</v>
      </c>
      <c r="G15" s="4">
        <v>1522138300</v>
      </c>
      <c r="H15" s="4">
        <v>1739064700</v>
      </c>
      <c r="I15" s="4">
        <v>1361896100</v>
      </c>
      <c r="J15" s="4">
        <v>1673896100</v>
      </c>
      <c r="K15" s="4">
        <v>1619319100</v>
      </c>
      <c r="L15" s="4">
        <v>1679790900</v>
      </c>
      <c r="M15" s="4">
        <v>1439156200</v>
      </c>
      <c r="N15" s="4">
        <v>1712323400</v>
      </c>
      <c r="O15" s="4">
        <v>1450899800</v>
      </c>
      <c r="P15" s="4">
        <v>2152121300</v>
      </c>
      <c r="Q15" s="4">
        <v>2269998200</v>
      </c>
      <c r="R15" s="4">
        <v>1440660500</v>
      </c>
      <c r="S15" s="4">
        <v>1731091200</v>
      </c>
      <c r="T15" s="4">
        <v>1798547100</v>
      </c>
      <c r="U15" s="4">
        <v>1819820400</v>
      </c>
      <c r="V15" s="4">
        <v>2026713000</v>
      </c>
      <c r="W15" s="4">
        <v>1967161200</v>
      </c>
      <c r="X15" s="4">
        <v>2040721700</v>
      </c>
      <c r="Y15" s="4">
        <v>1716936800</v>
      </c>
      <c r="Z15" s="4">
        <v>2069488300</v>
      </c>
      <c r="AA15" s="4">
        <v>1928301000</v>
      </c>
      <c r="AB15" s="4">
        <v>2570848200</v>
      </c>
      <c r="AC15" s="4">
        <v>2697993900</v>
      </c>
      <c r="AD15" s="4">
        <v>1713553500</v>
      </c>
      <c r="AE15" s="4">
        <v>2249529000</v>
      </c>
      <c r="AF15" s="4">
        <v>1722131000</v>
      </c>
      <c r="AG15" s="4">
        <v>1953870100</v>
      </c>
      <c r="AH15" s="4">
        <v>2049783000</v>
      </c>
      <c r="AI15" s="4">
        <v>2340131400</v>
      </c>
      <c r="AJ15" s="4">
        <v>2119321100</v>
      </c>
      <c r="AK15" s="4">
        <v>1844934500</v>
      </c>
      <c r="AL15" s="4">
        <v>2186347300</v>
      </c>
      <c r="AM15" s="4">
        <v>2139540600</v>
      </c>
      <c r="AN15" s="4">
        <v>2677938000</v>
      </c>
      <c r="AO15" s="4">
        <v>2951261200</v>
      </c>
      <c r="AP15" s="4">
        <v>1827939600</v>
      </c>
      <c r="AQ15" s="4">
        <v>2047183500</v>
      </c>
      <c r="AR15" s="4">
        <v>2367093600</v>
      </c>
      <c r="AS15" s="4">
        <v>2037190500</v>
      </c>
      <c r="AT15" s="4">
        <v>2334040000</v>
      </c>
      <c r="AU15" s="4">
        <v>2406472700</v>
      </c>
      <c r="AV15" s="4">
        <v>2366753300</v>
      </c>
      <c r="AW15" s="4">
        <v>2007601800</v>
      </c>
      <c r="AX15" s="4">
        <v>2413424000</v>
      </c>
      <c r="AY15" s="4">
        <v>2327374300</v>
      </c>
      <c r="AZ15" s="4">
        <v>3043060300</v>
      </c>
      <c r="BA15" s="4">
        <v>3191132000</v>
      </c>
      <c r="BB15" s="4">
        <v>1969910900</v>
      </c>
      <c r="BC15" s="4">
        <v>2560241500</v>
      </c>
      <c r="BD15" s="4">
        <v>2190464000</v>
      </c>
      <c r="BE15" s="4">
        <v>2213739900</v>
      </c>
      <c r="BF15" s="4">
        <v>2504217500</v>
      </c>
      <c r="BG15" s="4">
        <v>2677518700</v>
      </c>
      <c r="BH15" s="4">
        <v>2513286500</v>
      </c>
      <c r="BI15" s="4">
        <v>2199666500</v>
      </c>
      <c r="BJ15" s="4">
        <v>2502540000</v>
      </c>
      <c r="BK15" s="4">
        <v>2485043300</v>
      </c>
      <c r="BL15" s="4">
        <v>3194011000</v>
      </c>
    </row>
    <row r="16" spans="1:64" x14ac:dyDescent="0.25">
      <c r="A16" s="1">
        <v>143</v>
      </c>
      <c r="B16" s="3" t="s">
        <v>212</v>
      </c>
      <c r="C16" s="3" t="s">
        <v>213</v>
      </c>
      <c r="D16" s="3" t="s">
        <v>214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345794200</v>
      </c>
      <c r="Y16" s="4">
        <v>763210300</v>
      </c>
      <c r="Z16" s="4">
        <v>824444000</v>
      </c>
      <c r="AA16" s="4">
        <v>791558514</v>
      </c>
      <c r="AB16" s="4">
        <v>936497900</v>
      </c>
      <c r="AC16" s="4">
        <v>979470300</v>
      </c>
      <c r="AD16" s="4">
        <v>825006500</v>
      </c>
      <c r="AE16" s="4">
        <v>939530418</v>
      </c>
      <c r="AF16" s="4">
        <v>809638400</v>
      </c>
      <c r="AG16" s="4">
        <v>862592400</v>
      </c>
      <c r="AH16" s="4">
        <v>805806300</v>
      </c>
      <c r="AI16" s="4">
        <v>809058800</v>
      </c>
      <c r="AJ16" s="4">
        <v>880365400</v>
      </c>
      <c r="AK16" s="4">
        <v>805815300</v>
      </c>
      <c r="AL16" s="4">
        <v>842909200</v>
      </c>
      <c r="AM16" s="4">
        <v>804739900</v>
      </c>
      <c r="AN16" s="4">
        <v>948664900</v>
      </c>
      <c r="AO16" s="4">
        <v>954605400</v>
      </c>
      <c r="AP16" s="4">
        <v>784911000</v>
      </c>
      <c r="AQ16" s="4">
        <v>841038400</v>
      </c>
      <c r="AR16" s="4">
        <v>878259100</v>
      </c>
      <c r="AS16" s="4">
        <v>849799500</v>
      </c>
      <c r="AT16" s="4">
        <v>880647900</v>
      </c>
      <c r="AU16" s="4">
        <v>887510600</v>
      </c>
      <c r="AV16" s="4">
        <v>866617500</v>
      </c>
      <c r="AW16" s="4">
        <v>797741100</v>
      </c>
      <c r="AX16" s="4">
        <v>859584400</v>
      </c>
      <c r="AY16" s="4">
        <v>868783700</v>
      </c>
      <c r="AZ16" s="4">
        <v>985053600</v>
      </c>
      <c r="BA16" s="4">
        <v>954357300</v>
      </c>
      <c r="BB16" s="4">
        <v>766516200</v>
      </c>
      <c r="BC16" s="4">
        <v>895204700</v>
      </c>
      <c r="BD16" s="4">
        <v>850614700</v>
      </c>
      <c r="BE16" s="4">
        <v>772319000</v>
      </c>
      <c r="BF16" s="4">
        <v>722425000</v>
      </c>
      <c r="BG16" s="4">
        <v>839070800</v>
      </c>
      <c r="BH16" s="4">
        <v>838028900</v>
      </c>
      <c r="BI16" s="4">
        <v>790865300</v>
      </c>
      <c r="BJ16" s="4">
        <v>848822300</v>
      </c>
      <c r="BK16" s="4">
        <v>846989500</v>
      </c>
      <c r="BL16" s="4">
        <v>980666600</v>
      </c>
    </row>
    <row r="17" spans="1:64" x14ac:dyDescent="0.25">
      <c r="A17" s="1">
        <v>110</v>
      </c>
      <c r="B17" s="3" t="s">
        <v>170</v>
      </c>
      <c r="C17" s="3" t="s">
        <v>171</v>
      </c>
      <c r="D17" s="3" t="s">
        <v>173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51198850</v>
      </c>
      <c r="BB17" s="4">
        <v>132886000</v>
      </c>
      <c r="BC17" s="4">
        <v>130708750</v>
      </c>
      <c r="BD17" s="4">
        <v>110166000</v>
      </c>
      <c r="BE17" s="4">
        <v>104668900</v>
      </c>
      <c r="BF17" s="4">
        <v>131308200</v>
      </c>
      <c r="BG17" s="4">
        <v>166971100</v>
      </c>
      <c r="BH17" s="4">
        <v>228001650</v>
      </c>
      <c r="BI17" s="4">
        <v>233251300</v>
      </c>
      <c r="BJ17" s="4">
        <v>296104900</v>
      </c>
      <c r="BK17" s="4">
        <v>312980900</v>
      </c>
      <c r="BL17" s="4">
        <v>411973900</v>
      </c>
    </row>
    <row r="18" spans="1:64" x14ac:dyDescent="0.25">
      <c r="A18" s="1">
        <v>67</v>
      </c>
      <c r="B18" s="3" t="s">
        <v>95</v>
      </c>
      <c r="C18" s="3" t="s">
        <v>96</v>
      </c>
      <c r="D18" s="3" t="s">
        <v>97</v>
      </c>
      <c r="E18" s="4">
        <v>261909400</v>
      </c>
      <c r="F18" s="4">
        <v>170115400</v>
      </c>
      <c r="G18" s="4">
        <v>184624200</v>
      </c>
      <c r="H18" s="4">
        <v>213615600</v>
      </c>
      <c r="I18" s="4">
        <v>174884600</v>
      </c>
      <c r="J18" s="4">
        <v>196383200</v>
      </c>
      <c r="K18" s="4">
        <v>224593200</v>
      </c>
      <c r="L18" s="4">
        <v>213240600</v>
      </c>
      <c r="M18" s="4">
        <v>183138100</v>
      </c>
      <c r="N18" s="4">
        <v>206502600</v>
      </c>
      <c r="O18" s="4">
        <v>195264900</v>
      </c>
      <c r="P18" s="4">
        <v>254078200</v>
      </c>
      <c r="Q18" s="4">
        <v>324493400</v>
      </c>
      <c r="R18" s="4">
        <v>205117500</v>
      </c>
      <c r="S18" s="4">
        <v>227580500</v>
      </c>
      <c r="T18" s="4">
        <v>251766200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</row>
    <row r="19" spans="1:64" x14ac:dyDescent="0.25">
      <c r="A19" s="1">
        <v>152</v>
      </c>
      <c r="B19" s="3" t="s">
        <v>228</v>
      </c>
      <c r="C19" s="3" t="s">
        <v>229</v>
      </c>
      <c r="D19" s="3" t="s">
        <v>230</v>
      </c>
      <c r="E19" s="4">
        <v>2277047850</v>
      </c>
      <c r="F19" s="4">
        <v>1807875050</v>
      </c>
      <c r="G19" s="4">
        <v>2012074300</v>
      </c>
      <c r="H19" s="4">
        <v>2131601000</v>
      </c>
      <c r="I19" s="4">
        <v>2583543100</v>
      </c>
      <c r="J19" s="4">
        <v>2318346150</v>
      </c>
      <c r="K19" s="4">
        <v>2196842350</v>
      </c>
      <c r="L19" s="4">
        <v>2254408850</v>
      </c>
      <c r="M19" s="4">
        <v>2074633950</v>
      </c>
      <c r="N19" s="4">
        <v>2333024740</v>
      </c>
      <c r="O19" s="4">
        <v>2369460200</v>
      </c>
      <c r="P19" s="4">
        <v>2522091450</v>
      </c>
      <c r="Q19" s="4">
        <v>2583340700</v>
      </c>
      <c r="R19" s="4">
        <v>2072477350</v>
      </c>
      <c r="S19" s="4">
        <v>2217883102</v>
      </c>
      <c r="T19" s="4">
        <v>2423069200</v>
      </c>
      <c r="U19" s="4">
        <v>2348724850</v>
      </c>
      <c r="V19" s="4">
        <v>2472064550</v>
      </c>
      <c r="W19" s="4">
        <v>2448399550</v>
      </c>
      <c r="X19" s="4">
        <v>2463245500</v>
      </c>
      <c r="Y19" s="4">
        <v>2203142450</v>
      </c>
      <c r="Z19" s="4">
        <v>2556414450</v>
      </c>
      <c r="AA19" s="4">
        <v>2458103800</v>
      </c>
      <c r="AB19" s="4">
        <v>2793112800</v>
      </c>
      <c r="AC19" s="4">
        <v>2850557050</v>
      </c>
      <c r="AD19" s="4">
        <v>2345029700</v>
      </c>
      <c r="AE19" s="4">
        <v>2771447596</v>
      </c>
      <c r="AF19" s="4">
        <v>2395518100</v>
      </c>
      <c r="AG19" s="4">
        <v>2573424950</v>
      </c>
      <c r="AH19" s="4">
        <v>2481652800</v>
      </c>
      <c r="AI19" s="4">
        <v>2382247150</v>
      </c>
      <c r="AJ19" s="4">
        <v>2725316650</v>
      </c>
      <c r="AK19" s="4">
        <v>2472472550</v>
      </c>
      <c r="AL19" s="4">
        <v>2742840500</v>
      </c>
      <c r="AM19" s="4">
        <v>2644092000</v>
      </c>
      <c r="AN19" s="4">
        <v>2908149100</v>
      </c>
      <c r="AO19" s="4">
        <v>3035932200</v>
      </c>
      <c r="AP19" s="4">
        <v>2381931950</v>
      </c>
      <c r="AQ19" s="4">
        <v>2591569900</v>
      </c>
      <c r="AR19" s="4">
        <v>2807097950</v>
      </c>
      <c r="AS19" s="4">
        <v>2523709450</v>
      </c>
      <c r="AT19" s="4">
        <v>2659363800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</row>
    <row r="20" spans="1:64" x14ac:dyDescent="0.25">
      <c r="A20" s="1">
        <v>129</v>
      </c>
      <c r="B20" s="3" t="s">
        <v>195</v>
      </c>
      <c r="C20" s="3" t="s">
        <v>196</v>
      </c>
      <c r="D20" s="3" t="s">
        <v>197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>
        <v>0</v>
      </c>
      <c r="AD20" s="4">
        <v>0</v>
      </c>
      <c r="AE20" s="4">
        <v>0</v>
      </c>
      <c r="AF20" s="4">
        <v>202605300</v>
      </c>
      <c r="AG20" s="4">
        <v>404731400</v>
      </c>
      <c r="AH20" s="4">
        <v>433853400</v>
      </c>
      <c r="AI20" s="4">
        <v>336896800</v>
      </c>
      <c r="AJ20" s="4">
        <v>940296200</v>
      </c>
      <c r="AK20" s="4">
        <v>1167672500</v>
      </c>
      <c r="AL20" s="4">
        <v>1170002500</v>
      </c>
      <c r="AM20" s="4">
        <v>1045870050</v>
      </c>
      <c r="AN20" s="4">
        <v>1117899700</v>
      </c>
      <c r="AO20" s="4">
        <v>1185780800</v>
      </c>
      <c r="AP20" s="4">
        <v>784274200</v>
      </c>
      <c r="AQ20" s="4">
        <v>441250400</v>
      </c>
      <c r="AR20" s="4">
        <v>393963800</v>
      </c>
      <c r="AS20" s="4">
        <v>402779400</v>
      </c>
      <c r="AT20" s="4">
        <v>368435600</v>
      </c>
      <c r="AU20" s="4">
        <v>398682200</v>
      </c>
      <c r="AV20" s="4">
        <v>419903600</v>
      </c>
      <c r="AW20" s="4">
        <v>391961400</v>
      </c>
      <c r="AX20" s="4">
        <v>405177700</v>
      </c>
      <c r="AY20" s="4">
        <v>430610600</v>
      </c>
      <c r="AZ20" s="4">
        <v>446543800</v>
      </c>
      <c r="BA20" s="4">
        <v>420455150</v>
      </c>
      <c r="BB20" s="4">
        <v>371000200</v>
      </c>
      <c r="BC20" s="4">
        <v>431182700</v>
      </c>
      <c r="BD20" s="4">
        <v>444081550</v>
      </c>
      <c r="BE20" s="4">
        <v>447099000</v>
      </c>
      <c r="BF20" s="4">
        <v>413407900</v>
      </c>
      <c r="BG20" s="4">
        <v>430169400</v>
      </c>
      <c r="BH20" s="4">
        <v>453684400</v>
      </c>
      <c r="BI20" s="4">
        <v>405825100</v>
      </c>
      <c r="BJ20" s="4">
        <v>495764950</v>
      </c>
      <c r="BK20" s="4">
        <v>494329000</v>
      </c>
      <c r="BL20" s="4">
        <v>484773400</v>
      </c>
    </row>
    <row r="21" spans="1:64" s="10" customFormat="1" x14ac:dyDescent="0.25">
      <c r="A21" s="8">
        <v>91</v>
      </c>
      <c r="B21" s="8" t="s">
        <v>129</v>
      </c>
      <c r="C21" s="8" t="s">
        <v>130</v>
      </c>
      <c r="D21" s="8" t="s">
        <v>131</v>
      </c>
      <c r="E21" s="11">
        <v>437256400</v>
      </c>
      <c r="F21" s="11">
        <v>368627100</v>
      </c>
      <c r="G21" s="11">
        <v>410520300</v>
      </c>
      <c r="H21" s="11">
        <v>413934200</v>
      </c>
      <c r="I21" s="11">
        <v>415392700</v>
      </c>
      <c r="J21" s="11">
        <v>421126200</v>
      </c>
      <c r="K21" s="11">
        <v>455252400</v>
      </c>
      <c r="L21" s="11">
        <v>427943800</v>
      </c>
      <c r="M21" s="11">
        <v>427665800</v>
      </c>
      <c r="N21" s="11">
        <v>445746700</v>
      </c>
      <c r="O21" s="11">
        <v>433237100</v>
      </c>
      <c r="P21" s="11">
        <v>478224700</v>
      </c>
      <c r="Q21" s="11">
        <v>494624300</v>
      </c>
      <c r="R21" s="11">
        <v>451719700</v>
      </c>
      <c r="S21" s="11">
        <v>506179600</v>
      </c>
      <c r="T21" s="11">
        <v>474346900</v>
      </c>
      <c r="U21" s="11">
        <v>459859400</v>
      </c>
      <c r="V21" s="11">
        <v>476224000</v>
      </c>
      <c r="W21" s="11">
        <v>499154700</v>
      </c>
      <c r="X21" s="11">
        <v>489796200</v>
      </c>
      <c r="Y21" s="11">
        <v>498480000</v>
      </c>
      <c r="Z21" s="11">
        <v>542063100</v>
      </c>
      <c r="AA21" s="11">
        <v>499776400</v>
      </c>
      <c r="AB21" s="11">
        <v>574323300</v>
      </c>
      <c r="AC21" s="11">
        <v>578263300</v>
      </c>
      <c r="AD21" s="11">
        <v>501883500</v>
      </c>
      <c r="AE21" s="11">
        <v>585395300</v>
      </c>
      <c r="AF21" s="11">
        <v>503644000</v>
      </c>
      <c r="AG21" s="11">
        <v>530609600</v>
      </c>
      <c r="AH21" s="11">
        <v>559061000</v>
      </c>
      <c r="AI21" s="11">
        <v>560849300</v>
      </c>
      <c r="AJ21" s="11">
        <v>546946900</v>
      </c>
      <c r="AK21" s="11">
        <v>534704900</v>
      </c>
      <c r="AL21" s="11">
        <v>560851800</v>
      </c>
      <c r="AM21" s="11">
        <v>552760500</v>
      </c>
      <c r="AN21" s="11">
        <v>599815600</v>
      </c>
      <c r="AO21" s="11">
        <v>598827300</v>
      </c>
      <c r="AP21" s="11">
        <v>483816100</v>
      </c>
      <c r="AQ21" s="11">
        <v>559761100</v>
      </c>
      <c r="AR21" s="11">
        <v>559498100</v>
      </c>
      <c r="AS21" s="11">
        <v>491698800</v>
      </c>
      <c r="AT21" s="11">
        <v>535334400</v>
      </c>
      <c r="AU21" s="11">
        <v>534894000</v>
      </c>
      <c r="AV21" s="11">
        <v>369811900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</row>
    <row r="22" spans="1:64" s="10" customFormat="1" x14ac:dyDescent="0.25">
      <c r="A22" s="8">
        <v>116</v>
      </c>
      <c r="B22" s="8" t="s">
        <v>177</v>
      </c>
      <c r="C22" s="8" t="s">
        <v>178</v>
      </c>
      <c r="D22" s="8" t="s">
        <v>131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230606300</v>
      </c>
      <c r="AW22" s="11">
        <v>745050000</v>
      </c>
      <c r="AX22" s="11">
        <v>750025500</v>
      </c>
      <c r="AY22" s="11">
        <v>727359800</v>
      </c>
      <c r="AZ22" s="11">
        <v>847882800</v>
      </c>
      <c r="BA22" s="11">
        <v>833068800</v>
      </c>
      <c r="BB22" s="11">
        <v>672540700</v>
      </c>
      <c r="BC22" s="11">
        <v>820388600</v>
      </c>
      <c r="BD22" s="11">
        <v>731159700</v>
      </c>
      <c r="BE22" s="11">
        <v>900178100</v>
      </c>
      <c r="BF22" s="11">
        <v>1106416900</v>
      </c>
      <c r="BG22" s="11">
        <v>859591400</v>
      </c>
      <c r="BH22" s="11">
        <v>765823600</v>
      </c>
      <c r="BI22" s="11">
        <v>774830600</v>
      </c>
      <c r="BJ22" s="11">
        <v>801349500</v>
      </c>
      <c r="BK22" s="11">
        <v>745995500</v>
      </c>
      <c r="BL22" s="11">
        <v>863206700</v>
      </c>
    </row>
    <row r="23" spans="1:64" x14ac:dyDescent="0.25">
      <c r="A23" s="1">
        <v>38</v>
      </c>
      <c r="B23" s="3" t="s">
        <v>59</v>
      </c>
      <c r="C23" s="3" t="s">
        <v>60</v>
      </c>
      <c r="D23" s="3" t="s">
        <v>61</v>
      </c>
      <c r="E23" s="4">
        <v>1273671700</v>
      </c>
      <c r="F23" s="4">
        <v>1213033350</v>
      </c>
      <c r="G23" s="4">
        <v>1329363300</v>
      </c>
      <c r="H23" s="4">
        <v>1273468100</v>
      </c>
      <c r="I23" s="4">
        <v>1356971800</v>
      </c>
      <c r="J23" s="4">
        <v>1277637400</v>
      </c>
      <c r="K23" s="4">
        <v>1395128300</v>
      </c>
      <c r="L23" s="4">
        <v>1393199100</v>
      </c>
      <c r="M23" s="4">
        <v>1335845300</v>
      </c>
      <c r="N23" s="4">
        <v>1375155300</v>
      </c>
      <c r="O23" s="4">
        <v>1296897200</v>
      </c>
      <c r="P23" s="4">
        <v>1501930400</v>
      </c>
      <c r="Q23" s="4">
        <v>1381026000</v>
      </c>
      <c r="R23" s="4">
        <v>1319019900</v>
      </c>
      <c r="S23" s="4">
        <v>1505607300</v>
      </c>
      <c r="T23" s="4">
        <v>1508825800</v>
      </c>
      <c r="U23" s="4">
        <v>1609441600</v>
      </c>
      <c r="V23" s="4">
        <v>1674224800</v>
      </c>
      <c r="W23" s="4">
        <v>1878177900</v>
      </c>
      <c r="X23" s="4">
        <v>1801803400</v>
      </c>
      <c r="Y23" s="4">
        <v>1747458100</v>
      </c>
      <c r="Z23" s="4">
        <v>1831666600</v>
      </c>
      <c r="AA23" s="4">
        <v>1702527150</v>
      </c>
      <c r="AB23" s="4">
        <v>1865820000</v>
      </c>
      <c r="AC23" s="4">
        <v>1690937300</v>
      </c>
      <c r="AD23" s="4">
        <v>1720211300</v>
      </c>
      <c r="AE23" s="4">
        <v>1733638300</v>
      </c>
      <c r="AF23" s="4">
        <v>1641204000</v>
      </c>
      <c r="AG23" s="4">
        <v>1708811800</v>
      </c>
      <c r="AH23" s="4">
        <v>1724369600</v>
      </c>
      <c r="AI23" s="4">
        <v>1759445000</v>
      </c>
      <c r="AJ23" s="4">
        <v>1827360000</v>
      </c>
      <c r="AK23" s="4">
        <v>1705936950</v>
      </c>
      <c r="AL23" s="4">
        <v>1742333500</v>
      </c>
      <c r="AM23" s="4">
        <v>1698401000</v>
      </c>
      <c r="AN23" s="4">
        <v>1922898400</v>
      </c>
      <c r="AO23" s="4">
        <v>1727875500</v>
      </c>
      <c r="AP23" s="4">
        <v>1716461200</v>
      </c>
      <c r="AQ23" s="4">
        <v>1836195200</v>
      </c>
      <c r="AR23" s="4">
        <v>1729829700</v>
      </c>
      <c r="AS23" s="4">
        <v>1844000300</v>
      </c>
      <c r="AT23" s="4">
        <v>1861546300</v>
      </c>
      <c r="AU23" s="4">
        <v>1859487900</v>
      </c>
      <c r="AV23" s="4">
        <v>1915259900</v>
      </c>
      <c r="AW23" s="4">
        <v>1757874700</v>
      </c>
      <c r="AX23" s="4">
        <v>1759941800</v>
      </c>
      <c r="AY23" s="4">
        <v>1756159600</v>
      </c>
      <c r="AZ23" s="4">
        <v>2011450800</v>
      </c>
      <c r="BA23" s="4">
        <v>1792267800</v>
      </c>
      <c r="BB23" s="4">
        <v>1702298900</v>
      </c>
      <c r="BC23" s="4">
        <v>1850722700</v>
      </c>
      <c r="BD23" s="4">
        <v>1846570200</v>
      </c>
      <c r="BE23" s="4">
        <v>1967377000</v>
      </c>
      <c r="BF23" s="4">
        <v>1983673500</v>
      </c>
      <c r="BG23" s="4">
        <v>2056184600</v>
      </c>
      <c r="BH23" s="4">
        <v>2135398700</v>
      </c>
      <c r="BI23" s="4">
        <v>2051436500</v>
      </c>
      <c r="BJ23" s="4">
        <v>2146739700</v>
      </c>
      <c r="BK23" s="4">
        <v>0</v>
      </c>
      <c r="BL23" s="4">
        <v>0</v>
      </c>
    </row>
    <row r="24" spans="1:64" x14ac:dyDescent="0.25">
      <c r="A24" s="1">
        <v>39</v>
      </c>
      <c r="B24" s="3" t="s">
        <v>59</v>
      </c>
      <c r="C24" s="3" t="s">
        <v>60</v>
      </c>
      <c r="D24" s="3" t="s">
        <v>62</v>
      </c>
      <c r="E24" s="4">
        <v>3682455700</v>
      </c>
      <c r="F24" s="4">
        <v>3067332500</v>
      </c>
      <c r="G24" s="4">
        <v>3574511000</v>
      </c>
      <c r="H24" s="4">
        <v>3536036100</v>
      </c>
      <c r="I24" s="4">
        <v>3362055600</v>
      </c>
      <c r="J24" s="4">
        <v>3598022550</v>
      </c>
      <c r="K24" s="4">
        <v>3763886000</v>
      </c>
      <c r="L24" s="4">
        <v>3762513300</v>
      </c>
      <c r="M24" s="4">
        <v>3586891400</v>
      </c>
      <c r="N24" s="4">
        <v>3642173150</v>
      </c>
      <c r="O24" s="4">
        <v>3608617100</v>
      </c>
      <c r="P24" s="4">
        <v>4254740000</v>
      </c>
      <c r="Q24" s="4">
        <v>4263116000</v>
      </c>
      <c r="R24" s="4">
        <v>3621392800</v>
      </c>
      <c r="S24" s="4">
        <v>3868638200</v>
      </c>
      <c r="T24" s="4">
        <v>3847203000</v>
      </c>
      <c r="U24" s="4">
        <v>4034526700</v>
      </c>
      <c r="V24" s="4">
        <v>4158175900</v>
      </c>
      <c r="W24" s="4">
        <v>4311209800</v>
      </c>
      <c r="X24" s="4">
        <v>4182370900</v>
      </c>
      <c r="Y24" s="4">
        <v>3988784400</v>
      </c>
      <c r="Z24" s="4">
        <v>4206617600</v>
      </c>
      <c r="AA24" s="4">
        <v>4057702050</v>
      </c>
      <c r="AB24" s="4">
        <v>4843959400</v>
      </c>
      <c r="AC24" s="4">
        <v>4773608400</v>
      </c>
      <c r="AD24" s="4">
        <v>4091217200</v>
      </c>
      <c r="AE24" s="4">
        <v>4701930400</v>
      </c>
      <c r="AF24" s="4">
        <v>4079244350</v>
      </c>
      <c r="AG24" s="4">
        <v>4199866600</v>
      </c>
      <c r="AH24" s="4">
        <v>4077622300</v>
      </c>
      <c r="AI24" s="4">
        <v>4406528700</v>
      </c>
      <c r="AJ24" s="4">
        <v>4828081900</v>
      </c>
      <c r="AK24" s="4">
        <v>4323314500</v>
      </c>
      <c r="AL24" s="4">
        <v>4543596500</v>
      </c>
      <c r="AM24" s="4">
        <v>4423385300</v>
      </c>
      <c r="AN24" s="4">
        <v>5086835700</v>
      </c>
      <c r="AO24" s="4">
        <v>4967386200</v>
      </c>
      <c r="AP24" s="4">
        <v>4348695800</v>
      </c>
      <c r="AQ24" s="4">
        <v>4658388500</v>
      </c>
      <c r="AR24" s="4">
        <v>4872715600</v>
      </c>
      <c r="AS24" s="4">
        <v>4340840800</v>
      </c>
      <c r="AT24" s="4">
        <v>4654536500</v>
      </c>
      <c r="AU24" s="4">
        <v>5196336800</v>
      </c>
      <c r="AV24" s="4">
        <v>5246041400</v>
      </c>
      <c r="AW24" s="4">
        <v>4815558600</v>
      </c>
      <c r="AX24" s="4">
        <v>4940158400</v>
      </c>
      <c r="AY24" s="4">
        <v>4733992200</v>
      </c>
      <c r="AZ24" s="4">
        <v>5565322900</v>
      </c>
      <c r="BA24" s="4">
        <v>5435573600</v>
      </c>
      <c r="BB24" s="4">
        <v>4577786300</v>
      </c>
      <c r="BC24" s="4">
        <v>5360112100</v>
      </c>
      <c r="BD24" s="4">
        <v>5014875300</v>
      </c>
      <c r="BE24" s="4">
        <v>4844092300</v>
      </c>
      <c r="BF24" s="4">
        <v>5135969600</v>
      </c>
      <c r="BG24" s="4">
        <v>5476909700</v>
      </c>
      <c r="BH24" s="4">
        <v>5515725500</v>
      </c>
      <c r="BI24" s="4">
        <v>5180729300</v>
      </c>
      <c r="BJ24" s="4">
        <v>5414942800</v>
      </c>
      <c r="BK24" s="4">
        <v>0</v>
      </c>
      <c r="BL24" s="4">
        <v>0</v>
      </c>
    </row>
    <row r="25" spans="1:64" x14ac:dyDescent="0.25">
      <c r="A25" s="1">
        <v>66</v>
      </c>
      <c r="B25" s="3" t="s">
        <v>92</v>
      </c>
      <c r="C25" s="3" t="s">
        <v>93</v>
      </c>
      <c r="D25" s="3" t="s">
        <v>94</v>
      </c>
      <c r="E25" s="4">
        <v>3702394600</v>
      </c>
      <c r="F25" s="4">
        <v>3161146100</v>
      </c>
      <c r="G25" s="4">
        <v>3511160700</v>
      </c>
      <c r="H25" s="4">
        <v>3619925200</v>
      </c>
      <c r="I25" s="4">
        <v>3613706200</v>
      </c>
      <c r="J25" s="4">
        <v>3509922100</v>
      </c>
      <c r="K25" s="4">
        <v>3802152600</v>
      </c>
      <c r="L25" s="4">
        <v>3800607700</v>
      </c>
      <c r="M25" s="4">
        <v>3572589500</v>
      </c>
      <c r="N25" s="4">
        <v>3856334100</v>
      </c>
      <c r="O25" s="4">
        <v>3725912300</v>
      </c>
      <c r="P25" s="4">
        <v>4196615400</v>
      </c>
      <c r="Q25" s="4">
        <v>4182599700</v>
      </c>
      <c r="R25" s="4">
        <v>3521602600</v>
      </c>
      <c r="S25" s="4">
        <v>3712406900</v>
      </c>
      <c r="T25" s="4">
        <v>3911693300</v>
      </c>
      <c r="U25" s="4">
        <v>3885886600</v>
      </c>
      <c r="V25" s="4">
        <v>3928650300</v>
      </c>
      <c r="W25" s="4">
        <v>4193859700</v>
      </c>
      <c r="X25" s="4">
        <v>4177379500</v>
      </c>
      <c r="Y25" s="4">
        <v>3992301600</v>
      </c>
      <c r="Z25" s="4">
        <v>4205233100</v>
      </c>
      <c r="AA25" s="4">
        <v>4087144700</v>
      </c>
      <c r="AB25" s="4">
        <v>4632619600</v>
      </c>
      <c r="AC25" s="4">
        <v>4714358000</v>
      </c>
      <c r="AD25" s="4">
        <v>4097020700</v>
      </c>
      <c r="AE25" s="4">
        <v>4586220300</v>
      </c>
      <c r="AF25" s="4">
        <v>4119695600</v>
      </c>
      <c r="AG25" s="4">
        <v>4349791600</v>
      </c>
      <c r="AH25" s="4">
        <v>3984680800</v>
      </c>
      <c r="AI25" s="4">
        <v>4249902900</v>
      </c>
      <c r="AJ25" s="4">
        <v>4954975000</v>
      </c>
      <c r="AK25" s="4">
        <v>4413753300</v>
      </c>
      <c r="AL25" s="4">
        <v>4588172300</v>
      </c>
      <c r="AM25" s="4">
        <v>4513560600</v>
      </c>
      <c r="AN25" s="4">
        <v>5058957200</v>
      </c>
      <c r="AO25" s="4">
        <v>5022918800</v>
      </c>
      <c r="AP25" s="4">
        <v>4209239700</v>
      </c>
      <c r="AQ25" s="4">
        <v>4550748400</v>
      </c>
      <c r="AR25" s="4">
        <v>4642371300</v>
      </c>
      <c r="AS25" s="4">
        <v>4437923000</v>
      </c>
      <c r="AT25" s="4">
        <v>4745640000</v>
      </c>
      <c r="AU25" s="4">
        <v>4961672400</v>
      </c>
      <c r="AV25" s="4">
        <v>4915822800</v>
      </c>
      <c r="AW25" s="4">
        <v>4524543300</v>
      </c>
      <c r="AX25" s="4">
        <v>4800028500</v>
      </c>
      <c r="AY25" s="4">
        <v>4788213700</v>
      </c>
      <c r="AZ25" s="4">
        <v>5379759700</v>
      </c>
      <c r="BA25" s="4">
        <v>5175572200</v>
      </c>
      <c r="BB25" s="4">
        <v>3895081700</v>
      </c>
      <c r="BC25" s="4">
        <v>4445654500</v>
      </c>
      <c r="BD25" s="4">
        <v>4401721150</v>
      </c>
      <c r="BE25" s="4">
        <v>4416009600</v>
      </c>
      <c r="BF25" s="4">
        <v>4470376800</v>
      </c>
      <c r="BG25" s="4">
        <v>4848675600</v>
      </c>
      <c r="BH25" s="4">
        <v>4890020600</v>
      </c>
      <c r="BI25" s="4">
        <v>4466797900</v>
      </c>
      <c r="BJ25" s="4">
        <v>4756155700</v>
      </c>
      <c r="BK25" s="4">
        <v>4677686050</v>
      </c>
      <c r="BL25" s="4">
        <v>5280333750</v>
      </c>
    </row>
    <row r="26" spans="1:64" x14ac:dyDescent="0.25">
      <c r="A26" s="1">
        <v>64</v>
      </c>
      <c r="B26" s="3" t="s">
        <v>88</v>
      </c>
      <c r="C26" s="3" t="s">
        <v>89</v>
      </c>
      <c r="D26" s="3" t="s">
        <v>90</v>
      </c>
      <c r="E26" s="4">
        <v>3685150500</v>
      </c>
      <c r="F26" s="4">
        <v>3007858700</v>
      </c>
      <c r="G26" s="4">
        <v>3254731600</v>
      </c>
      <c r="H26" s="4">
        <v>3535104900</v>
      </c>
      <c r="I26" s="4">
        <v>3432083600</v>
      </c>
      <c r="J26" s="4">
        <v>3478013200</v>
      </c>
      <c r="K26" s="4">
        <v>3684649900</v>
      </c>
      <c r="L26" s="4">
        <v>3606208400</v>
      </c>
      <c r="M26" s="4">
        <v>3316568800</v>
      </c>
      <c r="N26" s="4">
        <v>3652672500</v>
      </c>
      <c r="O26" s="4">
        <v>3812048200</v>
      </c>
      <c r="P26" s="4">
        <v>4068529000</v>
      </c>
      <c r="Q26" s="4">
        <v>4055323500</v>
      </c>
      <c r="R26" s="4">
        <v>3305422800</v>
      </c>
      <c r="S26" s="4">
        <v>3498945700</v>
      </c>
      <c r="T26" s="4">
        <v>3682590100</v>
      </c>
      <c r="U26" s="4">
        <v>3649891000</v>
      </c>
      <c r="V26" s="4">
        <v>3945495500</v>
      </c>
      <c r="W26" s="4">
        <v>3997002600</v>
      </c>
      <c r="X26" s="4">
        <v>3793396800</v>
      </c>
      <c r="Y26" s="4">
        <v>3645314400</v>
      </c>
      <c r="Z26" s="4">
        <v>3973468500</v>
      </c>
      <c r="AA26" s="4">
        <v>3702686300</v>
      </c>
      <c r="AB26" s="4">
        <v>4445743100</v>
      </c>
      <c r="AC26" s="4">
        <v>4492516100</v>
      </c>
      <c r="AD26" s="4">
        <v>3528111300</v>
      </c>
      <c r="AE26" s="4">
        <v>4142130800</v>
      </c>
      <c r="AF26" s="4">
        <v>3697413700</v>
      </c>
      <c r="AG26" s="4">
        <v>3878943800</v>
      </c>
      <c r="AH26" s="4">
        <v>3716781400</v>
      </c>
      <c r="AI26" s="4">
        <v>3851899800</v>
      </c>
      <c r="AJ26" s="4">
        <v>4418117500</v>
      </c>
      <c r="AK26" s="4">
        <v>3882814800</v>
      </c>
      <c r="AL26" s="4">
        <v>4161309000</v>
      </c>
      <c r="AM26" s="4">
        <v>4072525900</v>
      </c>
      <c r="AN26" s="4">
        <v>4693205000</v>
      </c>
      <c r="AO26" s="4">
        <v>4714147700</v>
      </c>
      <c r="AP26" s="4">
        <v>3712510100</v>
      </c>
      <c r="AQ26" s="4">
        <v>4061357400</v>
      </c>
      <c r="AR26" s="4">
        <v>4388660100</v>
      </c>
      <c r="AS26" s="4">
        <v>3715486300</v>
      </c>
      <c r="AT26" s="4">
        <v>4509755900</v>
      </c>
      <c r="AU26" s="4">
        <v>4757393800</v>
      </c>
      <c r="AV26" s="4">
        <v>4483207200</v>
      </c>
      <c r="AW26" s="4">
        <v>4246974600</v>
      </c>
      <c r="AX26" s="4">
        <v>4598454700</v>
      </c>
      <c r="AY26" s="4">
        <v>4240696200</v>
      </c>
      <c r="AZ26" s="4">
        <v>4949980200</v>
      </c>
      <c r="BA26" s="4">
        <v>4965866600</v>
      </c>
      <c r="BB26" s="4">
        <v>3844234900</v>
      </c>
      <c r="BC26" s="4">
        <v>4428022600</v>
      </c>
      <c r="BD26" s="4">
        <v>4154992500</v>
      </c>
      <c r="BE26" s="4">
        <v>4188668200</v>
      </c>
      <c r="BF26" s="4">
        <v>4500787000</v>
      </c>
      <c r="BG26" s="4">
        <v>4709402800</v>
      </c>
      <c r="BH26" s="4">
        <v>4689292100</v>
      </c>
      <c r="BI26" s="4">
        <v>4357142800</v>
      </c>
      <c r="BJ26" s="4">
        <v>4843490400</v>
      </c>
      <c r="BK26" s="4">
        <v>4622467200</v>
      </c>
      <c r="BL26" s="4">
        <v>5124708100</v>
      </c>
    </row>
    <row r="27" spans="1:64" s="10" customFormat="1" x14ac:dyDescent="0.25">
      <c r="A27" s="8">
        <v>50</v>
      </c>
      <c r="B27" s="8" t="s">
        <v>75</v>
      </c>
      <c r="C27" s="8" t="s">
        <v>76</v>
      </c>
      <c r="D27" s="8" t="s">
        <v>77</v>
      </c>
      <c r="E27" s="11">
        <v>7067122650</v>
      </c>
      <c r="F27" s="11">
        <v>5037450350</v>
      </c>
      <c r="G27" s="11">
        <v>5740579350</v>
      </c>
      <c r="H27" s="11">
        <v>6213976400</v>
      </c>
      <c r="I27" s="11">
        <v>5716493550</v>
      </c>
      <c r="J27" s="11">
        <v>6593958350</v>
      </c>
      <c r="K27" s="11">
        <v>6493504950</v>
      </c>
      <c r="L27" s="11">
        <v>6399348400</v>
      </c>
      <c r="M27" s="11">
        <v>5762705302</v>
      </c>
      <c r="N27" s="11">
        <v>6671439300</v>
      </c>
      <c r="O27" s="11">
        <v>6624878750</v>
      </c>
      <c r="P27" s="11">
        <v>7416498950</v>
      </c>
      <c r="Q27" s="11">
        <v>7769955550</v>
      </c>
      <c r="R27" s="11">
        <v>5680058000</v>
      </c>
      <c r="S27" s="11">
        <v>6346887400</v>
      </c>
      <c r="T27" s="11">
        <v>6606520250</v>
      </c>
      <c r="U27" s="11">
        <v>6768265100</v>
      </c>
      <c r="V27" s="11">
        <v>7826014550</v>
      </c>
      <c r="W27" s="11">
        <v>7665021050</v>
      </c>
      <c r="X27" s="11">
        <v>7374288000</v>
      </c>
      <c r="Y27" s="11">
        <v>6784621850</v>
      </c>
      <c r="Z27" s="11">
        <v>7670346650</v>
      </c>
      <c r="AA27" s="11">
        <v>7038589050</v>
      </c>
      <c r="AB27" s="11">
        <v>8432006100</v>
      </c>
      <c r="AC27" s="11">
        <v>8831598750</v>
      </c>
      <c r="AD27" s="11">
        <v>6323774950</v>
      </c>
      <c r="AE27" s="11">
        <v>7684520050</v>
      </c>
      <c r="AF27" s="11">
        <v>6412708250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</row>
    <row r="28" spans="1:64" s="10" customFormat="1" x14ac:dyDescent="0.25">
      <c r="A28" s="8">
        <v>137</v>
      </c>
      <c r="B28" s="8" t="s">
        <v>201</v>
      </c>
      <c r="C28" s="8" t="s">
        <v>202</v>
      </c>
      <c r="D28" s="8" t="s">
        <v>77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8885505850</v>
      </c>
      <c r="AO28" s="11">
        <v>9393478000</v>
      </c>
      <c r="AP28" s="11">
        <v>6669798700</v>
      </c>
      <c r="AQ28" s="11">
        <v>7590272300</v>
      </c>
      <c r="AR28" s="11">
        <v>8293113950</v>
      </c>
      <c r="AS28" s="11">
        <v>7229644250</v>
      </c>
      <c r="AT28" s="11">
        <v>8687801950</v>
      </c>
      <c r="AU28" s="11">
        <v>9266115500</v>
      </c>
      <c r="AV28" s="11">
        <v>8364485000</v>
      </c>
      <c r="AW28" s="11">
        <v>7527521250</v>
      </c>
      <c r="AX28" s="11">
        <v>8627106300</v>
      </c>
      <c r="AY28" s="11">
        <v>7919369700</v>
      </c>
      <c r="AZ28" s="11">
        <v>9675025800</v>
      </c>
      <c r="BA28" s="11">
        <v>9929343950</v>
      </c>
      <c r="BB28" s="11">
        <v>6965076400</v>
      </c>
      <c r="BC28" s="11">
        <v>8797031800</v>
      </c>
      <c r="BD28" s="11">
        <v>7546380600</v>
      </c>
      <c r="BE28" s="11">
        <v>7689699200</v>
      </c>
      <c r="BF28" s="11">
        <v>9176539050</v>
      </c>
      <c r="BG28" s="11">
        <v>9596295000</v>
      </c>
      <c r="BH28" s="11">
        <v>8869913600</v>
      </c>
      <c r="BI28" s="11">
        <v>7988204600</v>
      </c>
      <c r="BJ28" s="11">
        <v>9215153850</v>
      </c>
      <c r="BK28" s="11">
        <v>8711789300</v>
      </c>
      <c r="BL28" s="11">
        <v>9968900050</v>
      </c>
    </row>
    <row r="29" spans="1:64" s="10" customFormat="1" x14ac:dyDescent="0.25">
      <c r="A29" s="8">
        <v>51</v>
      </c>
      <c r="B29" s="8" t="s">
        <v>75</v>
      </c>
      <c r="C29" s="8" t="s">
        <v>76</v>
      </c>
      <c r="D29" s="8" t="s">
        <v>78</v>
      </c>
      <c r="E29" s="11">
        <v>7821236700</v>
      </c>
      <c r="F29" s="11">
        <v>5703817700</v>
      </c>
      <c r="G29" s="11">
        <v>6502025700</v>
      </c>
      <c r="H29" s="11">
        <v>7049668450</v>
      </c>
      <c r="I29" s="11">
        <v>6592006150</v>
      </c>
      <c r="J29" s="11">
        <v>7566770800</v>
      </c>
      <c r="K29" s="11">
        <v>7390175650</v>
      </c>
      <c r="L29" s="11">
        <v>7442224350</v>
      </c>
      <c r="M29" s="11">
        <v>6689434600</v>
      </c>
      <c r="N29" s="11">
        <v>7691769900</v>
      </c>
      <c r="O29" s="11">
        <v>7713524700</v>
      </c>
      <c r="P29" s="11">
        <v>8692742600</v>
      </c>
      <c r="Q29" s="11">
        <v>8840639250</v>
      </c>
      <c r="R29" s="11">
        <v>6648094550</v>
      </c>
      <c r="S29" s="11">
        <v>7494290100</v>
      </c>
      <c r="T29" s="11">
        <v>7742501910</v>
      </c>
      <c r="U29" s="11">
        <v>8014271150</v>
      </c>
      <c r="V29" s="11">
        <v>9101644850</v>
      </c>
      <c r="W29" s="11">
        <v>8772025950</v>
      </c>
      <c r="X29" s="11">
        <v>8655221500</v>
      </c>
      <c r="Y29" s="11">
        <v>7895198350</v>
      </c>
      <c r="Z29" s="11">
        <v>8893222620</v>
      </c>
      <c r="AA29" s="11">
        <v>8309746750</v>
      </c>
      <c r="AB29" s="11">
        <v>9956609850</v>
      </c>
      <c r="AC29" s="11">
        <v>10212231400</v>
      </c>
      <c r="AD29" s="11">
        <v>7494900050</v>
      </c>
      <c r="AE29" s="11">
        <v>9080923950</v>
      </c>
      <c r="AF29" s="11">
        <v>7653077300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</row>
    <row r="30" spans="1:64" s="10" customFormat="1" x14ac:dyDescent="0.25">
      <c r="A30" s="8">
        <v>138</v>
      </c>
      <c r="B30" s="8" t="s">
        <v>201</v>
      </c>
      <c r="C30" s="8" t="s">
        <v>202</v>
      </c>
      <c r="D30" s="8" t="s">
        <v>78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10712227100</v>
      </c>
      <c r="AO30" s="11">
        <v>10900716700</v>
      </c>
      <c r="AP30" s="11">
        <v>7991321800</v>
      </c>
      <c r="AQ30" s="11">
        <v>9035120400</v>
      </c>
      <c r="AR30" s="11">
        <v>9784502550</v>
      </c>
      <c r="AS30" s="11">
        <v>8738282400</v>
      </c>
      <c r="AT30" s="11">
        <v>10207107850</v>
      </c>
      <c r="AU30" s="11">
        <v>10809674100</v>
      </c>
      <c r="AV30" s="11">
        <v>9887201300</v>
      </c>
      <c r="AW30" s="11">
        <v>8943356950</v>
      </c>
      <c r="AX30" s="11">
        <v>10187311000</v>
      </c>
      <c r="AY30" s="11">
        <v>9504201700</v>
      </c>
      <c r="AZ30" s="11">
        <v>11582901000</v>
      </c>
      <c r="BA30" s="11">
        <v>11473555150</v>
      </c>
      <c r="BB30" s="11">
        <v>8334228250</v>
      </c>
      <c r="BC30" s="11">
        <v>10483539350</v>
      </c>
      <c r="BD30" s="11">
        <v>9025058400</v>
      </c>
      <c r="BE30" s="11">
        <v>9176275100</v>
      </c>
      <c r="BF30" s="11">
        <v>10749071700</v>
      </c>
      <c r="BG30" s="11">
        <v>11104599950</v>
      </c>
      <c r="BH30" s="11">
        <v>10383853800</v>
      </c>
      <c r="BI30" s="11">
        <v>9485357000</v>
      </c>
      <c r="BJ30" s="11">
        <v>10963737750</v>
      </c>
      <c r="BK30" s="11">
        <v>10395196700</v>
      </c>
      <c r="BL30" s="11">
        <v>12012935850</v>
      </c>
    </row>
    <row r="31" spans="1:64" x14ac:dyDescent="0.25">
      <c r="A31" s="1">
        <v>40</v>
      </c>
      <c r="B31" s="3" t="s">
        <v>59</v>
      </c>
      <c r="C31" s="3" t="s">
        <v>60</v>
      </c>
      <c r="D31" s="3" t="s">
        <v>63</v>
      </c>
      <c r="E31" s="4">
        <v>1962884500</v>
      </c>
      <c r="F31" s="4">
        <v>1806074100</v>
      </c>
      <c r="G31" s="4">
        <v>1896298700</v>
      </c>
      <c r="H31" s="4">
        <v>1881138300</v>
      </c>
      <c r="I31" s="4">
        <v>1930757800</v>
      </c>
      <c r="J31" s="4">
        <v>1865100500</v>
      </c>
      <c r="K31" s="4">
        <v>2037203800</v>
      </c>
      <c r="L31" s="4">
        <v>2064753200</v>
      </c>
      <c r="M31" s="4">
        <v>1954401600</v>
      </c>
      <c r="N31" s="4">
        <v>2052171700</v>
      </c>
      <c r="O31" s="4">
        <v>1941588600</v>
      </c>
      <c r="P31" s="4">
        <v>2316644400</v>
      </c>
      <c r="Q31" s="4">
        <v>2118719400</v>
      </c>
      <c r="R31" s="4">
        <v>1946009200</v>
      </c>
      <c r="S31" s="4">
        <v>2084637400</v>
      </c>
      <c r="T31" s="4">
        <v>2113054400</v>
      </c>
      <c r="U31" s="4">
        <v>2026952600</v>
      </c>
      <c r="V31" s="4">
        <v>2026763400</v>
      </c>
      <c r="W31" s="4">
        <v>2170788550</v>
      </c>
      <c r="X31" s="4">
        <v>2181945800</v>
      </c>
      <c r="Y31" s="4">
        <v>2086097550</v>
      </c>
      <c r="Z31" s="4">
        <v>2245627850</v>
      </c>
      <c r="AA31" s="4">
        <v>2101427100</v>
      </c>
      <c r="AB31" s="4">
        <v>2408310700</v>
      </c>
      <c r="AC31" s="4">
        <v>2226479650</v>
      </c>
      <c r="AD31" s="4">
        <v>2115899600</v>
      </c>
      <c r="AE31" s="4">
        <v>2254341200</v>
      </c>
      <c r="AF31" s="4">
        <v>2181987600</v>
      </c>
      <c r="AG31" s="4">
        <v>2284038900</v>
      </c>
      <c r="AH31" s="4">
        <v>2265038800</v>
      </c>
      <c r="AI31" s="4">
        <v>2430063100</v>
      </c>
      <c r="AJ31" s="4">
        <v>2477328200</v>
      </c>
      <c r="AK31" s="4">
        <v>2336541000</v>
      </c>
      <c r="AL31" s="4">
        <v>2410318200</v>
      </c>
      <c r="AM31" s="4">
        <v>2375718100</v>
      </c>
      <c r="AN31" s="4">
        <v>2729016900</v>
      </c>
      <c r="AO31" s="4">
        <v>2594058900</v>
      </c>
      <c r="AP31" s="4">
        <v>2378669000</v>
      </c>
      <c r="AQ31" s="4">
        <v>2577830200</v>
      </c>
      <c r="AR31" s="4">
        <v>2458036900</v>
      </c>
      <c r="AS31" s="4">
        <v>2658571420</v>
      </c>
      <c r="AT31" s="4">
        <v>2578916300</v>
      </c>
      <c r="AU31" s="4">
        <v>2747982600</v>
      </c>
      <c r="AV31" s="4">
        <v>2745261500</v>
      </c>
      <c r="AW31" s="4">
        <v>2557455200</v>
      </c>
      <c r="AX31" s="4">
        <v>2596735300</v>
      </c>
      <c r="AY31" s="4">
        <v>2579101900</v>
      </c>
      <c r="AZ31" s="4">
        <v>3053687900</v>
      </c>
      <c r="BA31" s="4">
        <v>2762069500</v>
      </c>
      <c r="BB31" s="4">
        <v>2536016300</v>
      </c>
      <c r="BC31" s="4">
        <v>2716234400</v>
      </c>
      <c r="BD31" s="4">
        <v>2713239800</v>
      </c>
      <c r="BE31" s="4">
        <v>2805829900</v>
      </c>
      <c r="BF31" s="4">
        <v>2798393300</v>
      </c>
      <c r="BG31" s="4">
        <v>2924671500</v>
      </c>
      <c r="BH31" s="4">
        <v>2991994800</v>
      </c>
      <c r="BI31" s="4">
        <v>2858552900</v>
      </c>
      <c r="BJ31" s="4">
        <v>2955686500</v>
      </c>
      <c r="BK31" s="4">
        <v>0</v>
      </c>
      <c r="BL31" s="4">
        <v>0</v>
      </c>
    </row>
    <row r="32" spans="1:64" x14ac:dyDescent="0.25">
      <c r="A32" s="1">
        <v>1</v>
      </c>
      <c r="B32" s="3" t="s">
        <v>4</v>
      </c>
      <c r="C32" s="3" t="s">
        <v>5</v>
      </c>
      <c r="D32" s="3" t="s">
        <v>6</v>
      </c>
      <c r="E32" s="4">
        <v>2704524900</v>
      </c>
      <c r="F32" s="4">
        <v>2035905100</v>
      </c>
      <c r="G32" s="4">
        <v>2272609600</v>
      </c>
      <c r="H32" s="4">
        <v>2488712400</v>
      </c>
      <c r="I32" s="4">
        <v>2287160650</v>
      </c>
      <c r="J32" s="4">
        <v>2347601800</v>
      </c>
      <c r="K32" s="4">
        <v>2437008500</v>
      </c>
      <c r="L32" s="4">
        <v>2557138800</v>
      </c>
      <c r="M32" s="4">
        <v>2287042950</v>
      </c>
      <c r="N32" s="4">
        <v>2550642300</v>
      </c>
      <c r="O32" s="4">
        <v>2482025650</v>
      </c>
      <c r="P32" s="4">
        <v>2972040000</v>
      </c>
      <c r="Q32" s="4">
        <v>3057794000</v>
      </c>
      <c r="R32" s="4">
        <v>2240890850</v>
      </c>
      <c r="S32" s="4">
        <v>2558809950</v>
      </c>
      <c r="T32" s="4">
        <v>2644417850</v>
      </c>
      <c r="U32" s="4">
        <v>2620409350</v>
      </c>
      <c r="V32" s="4">
        <v>2753388250</v>
      </c>
      <c r="W32" s="4">
        <v>2881200500</v>
      </c>
      <c r="X32" s="4">
        <v>2817046700</v>
      </c>
      <c r="Y32" s="4">
        <v>2569325750</v>
      </c>
      <c r="Z32" s="4">
        <v>2800190500</v>
      </c>
      <c r="AA32" s="4">
        <v>2711455300</v>
      </c>
      <c r="AB32" s="4">
        <v>3364985100</v>
      </c>
      <c r="AC32" s="4">
        <v>3614918500</v>
      </c>
      <c r="AD32" s="4">
        <v>2675283600</v>
      </c>
      <c r="AE32" s="4">
        <v>3233860750</v>
      </c>
      <c r="AF32" s="4">
        <v>2725188800</v>
      </c>
      <c r="AG32" s="4">
        <v>2984502550</v>
      </c>
      <c r="AH32" s="4">
        <v>3021552700</v>
      </c>
      <c r="AI32" s="4">
        <v>3220751150</v>
      </c>
      <c r="AJ32" s="4">
        <v>3204525450</v>
      </c>
      <c r="AK32" s="4">
        <v>2906311100</v>
      </c>
      <c r="AL32" s="4">
        <v>3222635250</v>
      </c>
      <c r="AM32" s="4">
        <v>3113659120</v>
      </c>
      <c r="AN32" s="4">
        <v>3675874300</v>
      </c>
      <c r="AO32" s="4">
        <v>3953163400</v>
      </c>
      <c r="AP32" s="4">
        <v>2888930300</v>
      </c>
      <c r="AQ32" s="4">
        <v>3176046650</v>
      </c>
      <c r="AR32" s="4">
        <v>3453043050</v>
      </c>
      <c r="AS32" s="4">
        <v>3159697000</v>
      </c>
      <c r="AT32" s="4">
        <v>3384741200</v>
      </c>
      <c r="AU32" s="4">
        <v>3562876200</v>
      </c>
      <c r="AV32" s="4">
        <v>3476868900</v>
      </c>
      <c r="AW32" s="4">
        <v>3195157400</v>
      </c>
      <c r="AX32" s="4">
        <v>3517923370</v>
      </c>
      <c r="AY32" s="4">
        <v>3441269350</v>
      </c>
      <c r="AZ32" s="4">
        <v>4130670750</v>
      </c>
      <c r="BA32" s="4">
        <v>4267344100</v>
      </c>
      <c r="BB32" s="4">
        <v>3116539000</v>
      </c>
      <c r="BC32" s="4">
        <v>3802843200</v>
      </c>
      <c r="BD32" s="4">
        <v>3356896500</v>
      </c>
      <c r="BE32" s="4">
        <v>3410025000</v>
      </c>
      <c r="BF32" s="4">
        <v>3051586300</v>
      </c>
      <c r="BG32" s="4">
        <v>3868945900</v>
      </c>
      <c r="BH32" s="4">
        <v>3771508400</v>
      </c>
      <c r="BI32" s="4">
        <v>3540187200</v>
      </c>
      <c r="BJ32" s="4">
        <v>3772124800</v>
      </c>
      <c r="BK32" s="4">
        <v>3679215050</v>
      </c>
      <c r="BL32" s="4">
        <v>4494666650</v>
      </c>
    </row>
    <row r="33" spans="1:64" x14ac:dyDescent="0.25">
      <c r="A33" s="1">
        <v>95</v>
      </c>
      <c r="B33" s="3" t="s">
        <v>137</v>
      </c>
      <c r="C33" s="3" t="s">
        <v>138</v>
      </c>
      <c r="D33" s="3" t="s">
        <v>139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546297500</v>
      </c>
      <c r="BK33" s="4">
        <v>481800000</v>
      </c>
      <c r="BL33" s="4">
        <v>567010300</v>
      </c>
    </row>
    <row r="34" spans="1:64" x14ac:dyDescent="0.25">
      <c r="A34" s="1">
        <v>140</v>
      </c>
      <c r="B34" s="3" t="s">
        <v>205</v>
      </c>
      <c r="C34" s="3" t="s">
        <v>206</v>
      </c>
      <c r="D34" s="3" t="s">
        <v>207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>
        <v>0</v>
      </c>
      <c r="AD34" s="4">
        <v>0</v>
      </c>
      <c r="AE34" s="4">
        <v>0</v>
      </c>
      <c r="AF34" s="4">
        <v>172899900</v>
      </c>
      <c r="AG34" s="4">
        <v>413543200</v>
      </c>
      <c r="AH34" s="4">
        <v>437250400</v>
      </c>
      <c r="AI34" s="4">
        <v>438940500</v>
      </c>
      <c r="AJ34" s="4">
        <v>452540000</v>
      </c>
      <c r="AK34" s="4">
        <v>406750050</v>
      </c>
      <c r="AL34" s="4">
        <v>464692300</v>
      </c>
      <c r="AM34" s="4">
        <v>453232600</v>
      </c>
      <c r="AN34" s="4">
        <v>547389550</v>
      </c>
      <c r="AO34" s="4">
        <v>628000200</v>
      </c>
      <c r="AP34" s="4">
        <v>415602700</v>
      </c>
      <c r="AQ34" s="4">
        <v>462502700</v>
      </c>
      <c r="AR34" s="4">
        <v>487534600</v>
      </c>
      <c r="AS34" s="4">
        <v>461183000</v>
      </c>
      <c r="AT34" s="4">
        <v>476318400</v>
      </c>
      <c r="AU34" s="4">
        <v>492105900</v>
      </c>
      <c r="AV34" s="4">
        <v>474419800</v>
      </c>
      <c r="AW34" s="4">
        <v>438298950</v>
      </c>
      <c r="AX34" s="4">
        <v>488346800</v>
      </c>
      <c r="AY34" s="4">
        <v>470879200</v>
      </c>
      <c r="AZ34" s="4">
        <v>593596300</v>
      </c>
      <c r="BA34" s="4">
        <v>605354200</v>
      </c>
      <c r="BB34" s="4">
        <v>444387600</v>
      </c>
      <c r="BC34" s="4">
        <v>528228700</v>
      </c>
      <c r="BD34" s="4">
        <v>498864700</v>
      </c>
      <c r="BE34" s="4">
        <v>511856900</v>
      </c>
      <c r="BF34" s="4">
        <v>611131600</v>
      </c>
      <c r="BG34" s="4">
        <v>563140200</v>
      </c>
      <c r="BH34" s="4">
        <v>532323400</v>
      </c>
      <c r="BI34" s="4">
        <v>523584600</v>
      </c>
      <c r="BJ34" s="4">
        <v>564433200</v>
      </c>
      <c r="BK34" s="4">
        <v>514702800</v>
      </c>
      <c r="BL34" s="4">
        <v>624989000</v>
      </c>
    </row>
    <row r="35" spans="1:64" x14ac:dyDescent="0.25">
      <c r="A35" s="1">
        <v>20</v>
      </c>
      <c r="B35" s="3" t="s">
        <v>31</v>
      </c>
      <c r="C35" s="3" t="s">
        <v>32</v>
      </c>
      <c r="D35" s="3" t="s">
        <v>33</v>
      </c>
      <c r="E35" s="4">
        <v>2059887600</v>
      </c>
      <c r="F35" s="4">
        <v>1575614600</v>
      </c>
      <c r="G35" s="4">
        <v>1736442300</v>
      </c>
      <c r="H35" s="4">
        <v>1829849500</v>
      </c>
      <c r="I35" s="4">
        <v>1804480500</v>
      </c>
      <c r="J35" s="4">
        <v>1815856300</v>
      </c>
      <c r="K35" s="4">
        <v>1910498400</v>
      </c>
      <c r="L35" s="4">
        <v>1908771600</v>
      </c>
      <c r="M35" s="4">
        <v>1832985400</v>
      </c>
      <c r="N35" s="4">
        <v>1962262600</v>
      </c>
      <c r="O35" s="4">
        <v>1887390400</v>
      </c>
      <c r="P35" s="4">
        <v>2271126800</v>
      </c>
      <c r="Q35" s="4">
        <v>2440808100</v>
      </c>
      <c r="R35" s="4">
        <v>1914147600</v>
      </c>
      <c r="S35" s="4">
        <v>1960206200</v>
      </c>
      <c r="T35" s="4">
        <v>2050303900</v>
      </c>
      <c r="U35" s="4">
        <v>2026790200</v>
      </c>
      <c r="V35" s="4">
        <v>2188993200</v>
      </c>
      <c r="W35" s="4">
        <v>2231208700</v>
      </c>
      <c r="X35" s="4">
        <v>2215237200</v>
      </c>
      <c r="Y35" s="4">
        <v>2062591200</v>
      </c>
      <c r="Z35" s="4">
        <v>2312999200</v>
      </c>
      <c r="AA35" s="4">
        <v>2203142800</v>
      </c>
      <c r="AB35" s="4">
        <v>2621008200</v>
      </c>
      <c r="AC35" s="4">
        <v>2881114300</v>
      </c>
      <c r="AD35" s="4">
        <v>2202890300</v>
      </c>
      <c r="AE35" s="4">
        <v>2525151600</v>
      </c>
      <c r="AF35" s="4">
        <v>2179348900</v>
      </c>
      <c r="AG35" s="4">
        <v>2311119100</v>
      </c>
      <c r="AH35" s="4">
        <v>2241534300</v>
      </c>
      <c r="AI35" s="4">
        <v>2075454500</v>
      </c>
      <c r="AJ35" s="4">
        <v>2659718200</v>
      </c>
      <c r="AK35" s="4">
        <v>2332188600</v>
      </c>
      <c r="AL35" s="4">
        <v>2594435300</v>
      </c>
      <c r="AM35" s="4">
        <v>2616115400</v>
      </c>
      <c r="AN35" s="4">
        <v>2995828600</v>
      </c>
      <c r="AO35" s="4">
        <v>3056164100</v>
      </c>
      <c r="AP35" s="4">
        <v>2518718400</v>
      </c>
      <c r="AQ35" s="4">
        <v>2666404200</v>
      </c>
      <c r="AR35" s="4">
        <v>2780284500</v>
      </c>
      <c r="AS35" s="4">
        <v>2724550300</v>
      </c>
      <c r="AT35" s="4">
        <v>2880396000</v>
      </c>
      <c r="AU35" s="4">
        <v>2967331700</v>
      </c>
      <c r="AV35" s="4">
        <v>3022298800</v>
      </c>
      <c r="AW35" s="4">
        <v>2714200700</v>
      </c>
      <c r="AX35" s="4">
        <v>2978141400</v>
      </c>
      <c r="AY35" s="4">
        <v>2986200300</v>
      </c>
      <c r="AZ35" s="4">
        <v>3379519800</v>
      </c>
      <c r="BA35" s="4">
        <v>3688295900</v>
      </c>
      <c r="BB35" s="4">
        <v>2777453500</v>
      </c>
      <c r="BC35" s="4">
        <v>3150096600</v>
      </c>
      <c r="BD35" s="4">
        <v>2954775000</v>
      </c>
      <c r="BE35" s="4">
        <v>2842038700</v>
      </c>
      <c r="BF35" s="4">
        <v>3058124300</v>
      </c>
      <c r="BG35" s="4">
        <v>3225318900</v>
      </c>
      <c r="BH35" s="4">
        <v>3251137300</v>
      </c>
      <c r="BI35" s="4">
        <v>0</v>
      </c>
      <c r="BJ35" s="4">
        <v>0</v>
      </c>
      <c r="BK35" s="4">
        <v>0</v>
      </c>
      <c r="BL35" s="4">
        <v>0</v>
      </c>
    </row>
    <row r="36" spans="1:64" x14ac:dyDescent="0.25">
      <c r="A36" s="1">
        <v>2</v>
      </c>
      <c r="B36" s="3" t="s">
        <v>4</v>
      </c>
      <c r="C36" s="3" t="s">
        <v>5</v>
      </c>
      <c r="D36" s="3" t="s">
        <v>7</v>
      </c>
      <c r="E36" s="4">
        <v>2991480000</v>
      </c>
      <c r="F36" s="4">
        <v>2511528550</v>
      </c>
      <c r="G36" s="4">
        <v>2789494550</v>
      </c>
      <c r="H36" s="4">
        <v>2865612100</v>
      </c>
      <c r="I36" s="4">
        <v>2853370250</v>
      </c>
      <c r="J36" s="4">
        <v>2749758550</v>
      </c>
      <c r="K36" s="4">
        <v>3037759500</v>
      </c>
      <c r="L36" s="4">
        <v>2981873150</v>
      </c>
      <c r="M36" s="4">
        <v>2830414100</v>
      </c>
      <c r="N36" s="4">
        <v>2909024200</v>
      </c>
      <c r="O36" s="4">
        <v>2840880400</v>
      </c>
      <c r="P36" s="4">
        <v>3078244600</v>
      </c>
      <c r="Q36" s="4">
        <v>3233919600</v>
      </c>
      <c r="R36" s="4">
        <v>2813913800</v>
      </c>
      <c r="S36" s="4">
        <v>2824500100</v>
      </c>
      <c r="T36" s="4">
        <v>3058501200</v>
      </c>
      <c r="U36" s="4">
        <v>3028381600</v>
      </c>
      <c r="V36" s="4">
        <v>2973713850</v>
      </c>
      <c r="W36" s="4">
        <v>3190535600</v>
      </c>
      <c r="X36" s="4">
        <v>3035243200</v>
      </c>
      <c r="Y36" s="4">
        <v>2949134750</v>
      </c>
      <c r="Z36" s="4">
        <v>3062102650</v>
      </c>
      <c r="AA36" s="4">
        <v>2909117750</v>
      </c>
      <c r="AB36" s="4">
        <v>3280280700</v>
      </c>
      <c r="AC36" s="4">
        <v>3565459400</v>
      </c>
      <c r="AD36" s="4">
        <v>2899965050</v>
      </c>
      <c r="AE36" s="4">
        <v>3322409400</v>
      </c>
      <c r="AF36" s="4">
        <v>3068723250</v>
      </c>
      <c r="AG36" s="4">
        <v>3230205400</v>
      </c>
      <c r="AH36" s="4">
        <v>2984891300</v>
      </c>
      <c r="AI36" s="4">
        <v>2950556850</v>
      </c>
      <c r="AJ36" s="4">
        <v>3731114500</v>
      </c>
      <c r="AK36" s="4">
        <v>3307348950</v>
      </c>
      <c r="AL36" s="4">
        <v>3392264650</v>
      </c>
      <c r="AM36" s="4">
        <v>3321513100</v>
      </c>
      <c r="AN36" s="4">
        <v>3637281950</v>
      </c>
      <c r="AO36" s="4">
        <v>3736296200</v>
      </c>
      <c r="AP36" s="4">
        <v>3041001950</v>
      </c>
      <c r="AQ36" s="4">
        <v>3217368250</v>
      </c>
      <c r="AR36" s="4">
        <v>3438924750</v>
      </c>
      <c r="AS36" s="4">
        <v>2821558350</v>
      </c>
      <c r="AT36" s="4">
        <v>3531966900</v>
      </c>
      <c r="AU36" s="4">
        <v>3687118300</v>
      </c>
      <c r="AV36" s="4">
        <v>3539821600</v>
      </c>
      <c r="AW36" s="4">
        <v>3391085150</v>
      </c>
      <c r="AX36" s="4">
        <v>3557265000</v>
      </c>
      <c r="AY36" s="4">
        <v>3374160450</v>
      </c>
      <c r="AZ36" s="4">
        <v>3664264400</v>
      </c>
      <c r="BA36" s="4">
        <v>3892552950</v>
      </c>
      <c r="BB36" s="4">
        <v>3196588900</v>
      </c>
      <c r="BC36" s="4">
        <v>3578435500</v>
      </c>
      <c r="BD36" s="4">
        <v>3420228150</v>
      </c>
      <c r="BE36" s="4">
        <v>3451471000</v>
      </c>
      <c r="BF36" s="4">
        <v>3089045850</v>
      </c>
      <c r="BG36" s="4">
        <v>3780860150</v>
      </c>
      <c r="BH36" s="4">
        <v>3777690800</v>
      </c>
      <c r="BI36" s="4">
        <v>3626748800</v>
      </c>
      <c r="BJ36" s="4">
        <v>3909313050</v>
      </c>
      <c r="BK36" s="4">
        <v>3704525800</v>
      </c>
      <c r="BL36" s="4">
        <v>3908438450</v>
      </c>
    </row>
    <row r="37" spans="1:64" x14ac:dyDescent="0.25">
      <c r="A37" s="1">
        <v>24</v>
      </c>
      <c r="B37" s="3" t="s">
        <v>37</v>
      </c>
      <c r="C37" s="3" t="s">
        <v>38</v>
      </c>
      <c r="D37" s="3" t="s">
        <v>39</v>
      </c>
      <c r="E37" s="4">
        <v>2080560700</v>
      </c>
      <c r="F37" s="4">
        <v>1789790300</v>
      </c>
      <c r="G37" s="4">
        <v>2049383000</v>
      </c>
      <c r="H37" s="4">
        <v>2048695900</v>
      </c>
      <c r="I37" s="4">
        <v>1872686200</v>
      </c>
      <c r="J37" s="4">
        <v>1962021200</v>
      </c>
      <c r="K37" s="4">
        <v>2112102800</v>
      </c>
      <c r="L37" s="4">
        <v>2119572800</v>
      </c>
      <c r="M37" s="4">
        <v>2025233800</v>
      </c>
      <c r="N37" s="4">
        <v>2120655300</v>
      </c>
      <c r="O37" s="4">
        <v>1911514500</v>
      </c>
      <c r="P37" s="4">
        <v>2121875600</v>
      </c>
      <c r="Q37" s="4">
        <v>2171104400</v>
      </c>
      <c r="R37" s="4">
        <v>1964732900</v>
      </c>
      <c r="S37" s="4">
        <v>2094923300</v>
      </c>
      <c r="T37" s="4">
        <v>2112140000</v>
      </c>
      <c r="U37" s="4">
        <v>2214933600</v>
      </c>
      <c r="V37" s="4">
        <v>2187814000</v>
      </c>
      <c r="W37" s="4">
        <v>2401519100</v>
      </c>
      <c r="X37" s="4">
        <v>2370372800</v>
      </c>
      <c r="Y37" s="4">
        <v>2282743400</v>
      </c>
      <c r="Z37" s="4">
        <v>2365862500</v>
      </c>
      <c r="AA37" s="4">
        <v>2239252500</v>
      </c>
      <c r="AB37" s="4">
        <v>2385900600</v>
      </c>
      <c r="AC37" s="4">
        <v>2511709000</v>
      </c>
      <c r="AD37" s="4">
        <v>2267016000</v>
      </c>
      <c r="AE37" s="4">
        <v>2338730700</v>
      </c>
      <c r="AF37" s="4">
        <v>2276830300</v>
      </c>
      <c r="AG37" s="4">
        <v>2355862100</v>
      </c>
      <c r="AH37" s="4">
        <v>2278792600</v>
      </c>
      <c r="AI37" s="4">
        <v>2214267200</v>
      </c>
      <c r="AJ37" s="4">
        <v>2443266600</v>
      </c>
      <c r="AK37" s="4">
        <v>2347396300</v>
      </c>
      <c r="AL37" s="4">
        <v>2460320800</v>
      </c>
      <c r="AM37" s="4">
        <v>2338463600</v>
      </c>
      <c r="AN37" s="4">
        <v>2473830200</v>
      </c>
      <c r="AO37" s="4">
        <v>2593491000</v>
      </c>
      <c r="AP37" s="4">
        <v>2319924700</v>
      </c>
      <c r="AQ37" s="4">
        <v>2524187200</v>
      </c>
      <c r="AR37" s="4">
        <v>2448345200</v>
      </c>
      <c r="AS37" s="4">
        <v>2529877800</v>
      </c>
      <c r="AT37" s="4">
        <v>2484071500</v>
      </c>
      <c r="AU37" s="4">
        <v>2601978700</v>
      </c>
      <c r="AV37" s="4">
        <v>2542840800</v>
      </c>
      <c r="AW37" s="4">
        <v>2401209400</v>
      </c>
      <c r="AX37" s="4">
        <v>2545815900</v>
      </c>
      <c r="AY37" s="4">
        <v>2457966100</v>
      </c>
      <c r="AZ37" s="4">
        <v>2590559700</v>
      </c>
      <c r="BA37" s="4">
        <v>2691786700</v>
      </c>
      <c r="BB37" s="4">
        <v>2345311200</v>
      </c>
      <c r="BC37" s="4">
        <v>2619390200</v>
      </c>
      <c r="BD37" s="4">
        <v>2325533500</v>
      </c>
      <c r="BE37" s="4">
        <v>2585954650</v>
      </c>
      <c r="BF37" s="4">
        <v>2554891000</v>
      </c>
      <c r="BG37" s="4">
        <v>2742124100</v>
      </c>
      <c r="BH37" s="4">
        <v>2684811300</v>
      </c>
      <c r="BI37" s="4">
        <v>2626786600</v>
      </c>
      <c r="BJ37" s="4">
        <v>2758442600</v>
      </c>
      <c r="BK37" s="4">
        <v>2676401500</v>
      </c>
      <c r="BL37" s="4">
        <v>2799657500</v>
      </c>
    </row>
    <row r="38" spans="1:64" x14ac:dyDescent="0.25">
      <c r="A38" s="1">
        <v>153</v>
      </c>
      <c r="B38" s="3" t="s">
        <v>228</v>
      </c>
      <c r="C38" s="3" t="s">
        <v>229</v>
      </c>
      <c r="D38" s="3" t="s">
        <v>231</v>
      </c>
      <c r="E38" s="4">
        <v>1565550350</v>
      </c>
      <c r="F38" s="4">
        <v>1102532350</v>
      </c>
      <c r="G38" s="4">
        <v>1151223100</v>
      </c>
      <c r="H38" s="4">
        <v>1322044750</v>
      </c>
      <c r="I38" s="4">
        <v>1760723700</v>
      </c>
      <c r="J38" s="4">
        <v>1384149450</v>
      </c>
      <c r="K38" s="4">
        <v>1242900700</v>
      </c>
      <c r="L38" s="4">
        <v>1227180900</v>
      </c>
      <c r="M38" s="4">
        <v>1146471700</v>
      </c>
      <c r="N38" s="4">
        <v>1321488800</v>
      </c>
      <c r="O38" s="4">
        <v>1395271750</v>
      </c>
      <c r="P38" s="4">
        <v>1493663700</v>
      </c>
      <c r="Q38" s="4">
        <v>1610197500</v>
      </c>
      <c r="R38" s="4">
        <v>1115571650</v>
      </c>
      <c r="S38" s="4">
        <v>1207389550</v>
      </c>
      <c r="T38" s="4">
        <v>1351913750</v>
      </c>
      <c r="U38" s="4">
        <v>1251938600</v>
      </c>
      <c r="V38" s="4">
        <v>1350623750</v>
      </c>
      <c r="W38" s="4">
        <v>1390241500</v>
      </c>
      <c r="X38" s="4">
        <v>1321960100</v>
      </c>
      <c r="Y38" s="4">
        <v>1242209000</v>
      </c>
      <c r="Z38" s="4">
        <v>1437008300</v>
      </c>
      <c r="AA38" s="4">
        <v>1359750700</v>
      </c>
      <c r="AB38" s="4">
        <v>1604932300</v>
      </c>
      <c r="AC38" s="4">
        <v>1736713600</v>
      </c>
      <c r="AD38" s="4">
        <v>1222291800</v>
      </c>
      <c r="AE38" s="4">
        <v>1513059500</v>
      </c>
      <c r="AF38" s="4">
        <v>1213525900</v>
      </c>
      <c r="AG38" s="4">
        <v>1323982000</v>
      </c>
      <c r="AH38" s="4">
        <v>1254103500</v>
      </c>
      <c r="AI38" s="4">
        <v>1149866500</v>
      </c>
      <c r="AJ38" s="4">
        <v>1369615200</v>
      </c>
      <c r="AK38" s="4">
        <v>1277577400</v>
      </c>
      <c r="AL38" s="4">
        <v>1423756400</v>
      </c>
      <c r="AM38" s="4">
        <v>1419710700</v>
      </c>
      <c r="AN38" s="4">
        <v>1646457200</v>
      </c>
      <c r="AO38" s="4">
        <v>1800792800</v>
      </c>
      <c r="AP38" s="4">
        <v>1255855400</v>
      </c>
      <c r="AQ38" s="4">
        <v>1393241200</v>
      </c>
      <c r="AR38" s="4">
        <v>1556269700</v>
      </c>
      <c r="AS38" s="4">
        <v>1385312800</v>
      </c>
      <c r="AT38" s="4">
        <v>1469882400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</row>
    <row r="39" spans="1:64" x14ac:dyDescent="0.25">
      <c r="A39" s="1">
        <v>68</v>
      </c>
      <c r="B39" s="3" t="s">
        <v>95</v>
      </c>
      <c r="C39" s="3" t="s">
        <v>96</v>
      </c>
      <c r="D39" s="3" t="s">
        <v>98</v>
      </c>
      <c r="E39" s="4">
        <v>815553100</v>
      </c>
      <c r="F39" s="4">
        <v>698849800</v>
      </c>
      <c r="G39" s="4">
        <v>756269200</v>
      </c>
      <c r="H39" s="4">
        <v>781061000</v>
      </c>
      <c r="I39" s="4">
        <v>747915600</v>
      </c>
      <c r="J39" s="4">
        <v>772548600</v>
      </c>
      <c r="K39" s="4">
        <v>851262300</v>
      </c>
      <c r="L39" s="4">
        <v>842287700</v>
      </c>
      <c r="M39" s="4">
        <v>769655600</v>
      </c>
      <c r="N39" s="4">
        <v>822308800</v>
      </c>
      <c r="O39" s="4">
        <v>822130300</v>
      </c>
      <c r="P39" s="4">
        <v>889248500</v>
      </c>
      <c r="Q39" s="4">
        <v>924496800</v>
      </c>
      <c r="R39" s="4">
        <v>760467900</v>
      </c>
      <c r="S39" s="4">
        <v>763705700</v>
      </c>
      <c r="T39" s="4">
        <v>862431000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</row>
    <row r="40" spans="1:64" x14ac:dyDescent="0.25">
      <c r="A40" s="1">
        <v>144</v>
      </c>
      <c r="B40" s="3" t="s">
        <v>212</v>
      </c>
      <c r="C40" s="3" t="s">
        <v>213</v>
      </c>
      <c r="D40" s="3" t="s">
        <v>215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428853600</v>
      </c>
      <c r="Y40" s="4">
        <v>938296400</v>
      </c>
      <c r="Z40" s="4">
        <v>1043120900</v>
      </c>
      <c r="AA40" s="4">
        <v>1032187100</v>
      </c>
      <c r="AB40" s="4">
        <v>1232616600</v>
      </c>
      <c r="AC40" s="4">
        <v>1263536500</v>
      </c>
      <c r="AD40" s="4">
        <v>1019753700</v>
      </c>
      <c r="AE40" s="4">
        <v>1193819800</v>
      </c>
      <c r="AF40" s="4">
        <v>1053437100</v>
      </c>
      <c r="AG40" s="4">
        <v>1078715000</v>
      </c>
      <c r="AH40" s="4">
        <v>1035800500</v>
      </c>
      <c r="AI40" s="4">
        <v>1034526450</v>
      </c>
      <c r="AJ40" s="4">
        <v>1159262800</v>
      </c>
      <c r="AK40" s="4">
        <v>1071888800</v>
      </c>
      <c r="AL40" s="4">
        <v>1177322100</v>
      </c>
      <c r="AM40" s="4">
        <v>1135098200</v>
      </c>
      <c r="AN40" s="4">
        <v>1329148250</v>
      </c>
      <c r="AO40" s="4">
        <v>1355806400</v>
      </c>
      <c r="AP40" s="4">
        <v>1038352700</v>
      </c>
      <c r="AQ40" s="4">
        <v>1138655700</v>
      </c>
      <c r="AR40" s="4">
        <v>1176960300</v>
      </c>
      <c r="AS40" s="4">
        <v>1121246000</v>
      </c>
      <c r="AT40" s="4">
        <v>1150824800</v>
      </c>
      <c r="AU40" s="4">
        <v>1166242000</v>
      </c>
      <c r="AV40" s="4">
        <v>1134737800</v>
      </c>
      <c r="AW40" s="4">
        <v>1080068400</v>
      </c>
      <c r="AX40" s="4">
        <v>1168504900</v>
      </c>
      <c r="AY40" s="4">
        <v>1171295100</v>
      </c>
      <c r="AZ40" s="4">
        <v>1338458200</v>
      </c>
      <c r="BA40" s="4">
        <v>1366758400</v>
      </c>
      <c r="BB40" s="4">
        <v>1026237600</v>
      </c>
      <c r="BC40" s="4">
        <v>1209960100</v>
      </c>
      <c r="BD40" s="4">
        <v>1153150600</v>
      </c>
      <c r="BE40" s="4">
        <v>1029099200</v>
      </c>
      <c r="BF40" s="4">
        <v>988493600</v>
      </c>
      <c r="BG40" s="4">
        <v>1166615200</v>
      </c>
      <c r="BH40" s="4">
        <v>1152737300</v>
      </c>
      <c r="BI40" s="4">
        <v>1080480100</v>
      </c>
      <c r="BJ40" s="4">
        <v>1175085850</v>
      </c>
      <c r="BK40" s="4">
        <v>1152918100</v>
      </c>
      <c r="BL40" s="4">
        <v>1333861000</v>
      </c>
    </row>
    <row r="41" spans="1:64" x14ac:dyDescent="0.25">
      <c r="A41" s="1">
        <v>85</v>
      </c>
      <c r="B41" s="3" t="s">
        <v>121</v>
      </c>
      <c r="C41" s="3" t="s">
        <v>122</v>
      </c>
      <c r="D41" s="3" t="s">
        <v>123</v>
      </c>
      <c r="E41" s="4">
        <v>2196879550</v>
      </c>
      <c r="F41" s="4">
        <v>1692243500</v>
      </c>
      <c r="G41" s="4">
        <v>1715125300</v>
      </c>
      <c r="H41" s="4">
        <v>1928730200</v>
      </c>
      <c r="I41" s="4">
        <v>1853113200</v>
      </c>
      <c r="J41" s="4">
        <v>1883039850</v>
      </c>
      <c r="K41" s="4">
        <v>2066533100</v>
      </c>
      <c r="L41" s="4">
        <v>1815912950</v>
      </c>
      <c r="M41" s="4">
        <v>1740369250</v>
      </c>
      <c r="N41" s="4">
        <v>1949183750</v>
      </c>
      <c r="O41" s="4">
        <v>1910684250</v>
      </c>
      <c r="P41" s="4">
        <v>1990192750</v>
      </c>
      <c r="Q41" s="4">
        <v>2212755250</v>
      </c>
      <c r="R41" s="4">
        <v>1891142000</v>
      </c>
      <c r="S41" s="4">
        <v>2047428500</v>
      </c>
      <c r="T41" s="4">
        <v>2007558700</v>
      </c>
      <c r="U41" s="4">
        <v>1958865800</v>
      </c>
      <c r="V41" s="4">
        <v>1901840500</v>
      </c>
      <c r="W41" s="4">
        <v>2058246200</v>
      </c>
      <c r="X41" s="4">
        <v>2000414400</v>
      </c>
      <c r="Y41" s="4">
        <v>1937840500</v>
      </c>
      <c r="Z41" s="4">
        <v>2105803200</v>
      </c>
      <c r="AA41" s="4">
        <v>1966056800</v>
      </c>
      <c r="AB41" s="4">
        <v>2101944850</v>
      </c>
      <c r="AC41" s="4">
        <v>2341546750</v>
      </c>
      <c r="AD41" s="4">
        <v>1770366900</v>
      </c>
      <c r="AE41" s="4">
        <v>2012801400</v>
      </c>
      <c r="AF41" s="4">
        <v>1886462800</v>
      </c>
      <c r="AG41" s="4">
        <v>1912613100</v>
      </c>
      <c r="AH41" s="4">
        <v>1902241400</v>
      </c>
      <c r="AI41" s="4">
        <v>1783410100</v>
      </c>
      <c r="AJ41" s="4">
        <v>2119458800</v>
      </c>
      <c r="AK41" s="4">
        <v>2008386200</v>
      </c>
      <c r="AL41" s="4">
        <v>2086090600</v>
      </c>
      <c r="AM41" s="4">
        <v>2104369550</v>
      </c>
      <c r="AN41" s="4">
        <v>2368310700</v>
      </c>
      <c r="AO41" s="4">
        <v>2757400800</v>
      </c>
      <c r="AP41" s="4">
        <v>2114792150</v>
      </c>
      <c r="AQ41" s="4">
        <v>2360005500</v>
      </c>
      <c r="AR41" s="4">
        <v>2174588600</v>
      </c>
      <c r="AS41" s="4">
        <v>2241027400</v>
      </c>
      <c r="AT41" s="4">
        <v>2235946150</v>
      </c>
      <c r="AU41" s="4">
        <v>2095199650</v>
      </c>
      <c r="AV41" s="4">
        <v>2094118300</v>
      </c>
      <c r="AW41" s="4">
        <v>2049487600</v>
      </c>
      <c r="AX41" s="4">
        <v>2222492300</v>
      </c>
      <c r="AY41" s="4">
        <v>2119204900</v>
      </c>
      <c r="AZ41" s="4">
        <v>2361653700</v>
      </c>
      <c r="BA41" s="4">
        <v>2715741700</v>
      </c>
      <c r="BB41" s="4">
        <v>2007836200</v>
      </c>
      <c r="BC41" s="4">
        <v>2373389150</v>
      </c>
      <c r="BD41" s="4">
        <v>2452894400</v>
      </c>
      <c r="BE41" s="4">
        <v>2383857200</v>
      </c>
      <c r="BF41" s="4">
        <v>2388409550</v>
      </c>
      <c r="BG41" s="4">
        <v>2409713400</v>
      </c>
      <c r="BH41" s="4">
        <v>2314613500</v>
      </c>
      <c r="BI41" s="4">
        <v>2263120700</v>
      </c>
      <c r="BJ41" s="4">
        <v>2419954900</v>
      </c>
      <c r="BK41" s="4">
        <v>2327587850</v>
      </c>
      <c r="BL41" s="4">
        <v>2538519200</v>
      </c>
    </row>
    <row r="42" spans="1:64" x14ac:dyDescent="0.25">
      <c r="A42" s="1">
        <v>86</v>
      </c>
      <c r="B42" s="3" t="s">
        <v>121</v>
      </c>
      <c r="C42" s="3" t="s">
        <v>122</v>
      </c>
      <c r="D42" s="3" t="s">
        <v>124</v>
      </c>
      <c r="E42" s="4">
        <v>975488200</v>
      </c>
      <c r="F42" s="4">
        <v>812672600</v>
      </c>
      <c r="G42" s="4">
        <v>901309250</v>
      </c>
      <c r="H42" s="4">
        <v>968542900</v>
      </c>
      <c r="I42" s="4">
        <v>932933400</v>
      </c>
      <c r="J42" s="4">
        <v>954016300</v>
      </c>
      <c r="K42" s="4">
        <v>998366950</v>
      </c>
      <c r="L42" s="4">
        <v>967577800</v>
      </c>
      <c r="M42" s="4">
        <v>930155800</v>
      </c>
      <c r="N42" s="4">
        <v>1026196500</v>
      </c>
      <c r="O42" s="4">
        <v>946165400</v>
      </c>
      <c r="P42" s="4">
        <v>1026838300</v>
      </c>
      <c r="Q42" s="4">
        <v>1139941500</v>
      </c>
      <c r="R42" s="4">
        <v>992615500</v>
      </c>
      <c r="S42" s="4">
        <v>1103980000</v>
      </c>
      <c r="T42" s="4">
        <v>1094280000</v>
      </c>
      <c r="U42" s="4">
        <v>1083364800</v>
      </c>
      <c r="V42" s="4">
        <v>1081886500</v>
      </c>
      <c r="W42" s="4">
        <v>1160845500</v>
      </c>
      <c r="X42" s="4">
        <v>1024306500</v>
      </c>
      <c r="Y42" s="4">
        <v>1026802500</v>
      </c>
      <c r="Z42" s="4">
        <v>1153105800</v>
      </c>
      <c r="AA42" s="4">
        <v>1151233900</v>
      </c>
      <c r="AB42" s="4">
        <v>1213565200</v>
      </c>
      <c r="AC42" s="4">
        <v>1338266600</v>
      </c>
      <c r="AD42" s="4">
        <v>1265295500</v>
      </c>
      <c r="AE42" s="4">
        <v>1284279300</v>
      </c>
      <c r="AF42" s="4">
        <v>1256277200</v>
      </c>
      <c r="AG42" s="4">
        <v>1067641900</v>
      </c>
      <c r="AH42" s="4">
        <v>1120576400</v>
      </c>
      <c r="AI42" s="4">
        <v>1082948900</v>
      </c>
      <c r="AJ42" s="4">
        <v>1354446200</v>
      </c>
      <c r="AK42" s="4">
        <v>1361934300</v>
      </c>
      <c r="AL42" s="4">
        <v>1494723700</v>
      </c>
      <c r="AM42" s="4">
        <v>1582434400</v>
      </c>
      <c r="AN42" s="4">
        <v>1553800250</v>
      </c>
      <c r="AO42" s="4">
        <v>1771543000</v>
      </c>
      <c r="AP42" s="4">
        <v>1739012150</v>
      </c>
      <c r="AQ42" s="4">
        <v>1881538600</v>
      </c>
      <c r="AR42" s="4">
        <v>1239085850</v>
      </c>
      <c r="AS42" s="4">
        <v>1392312700</v>
      </c>
      <c r="AT42" s="4">
        <v>1418531900</v>
      </c>
      <c r="AU42" s="4">
        <v>1223412600</v>
      </c>
      <c r="AV42" s="4">
        <v>1164816400</v>
      </c>
      <c r="AW42" s="4">
        <v>1144066300</v>
      </c>
      <c r="AX42" s="4">
        <v>1192456200</v>
      </c>
      <c r="AY42" s="4">
        <v>1209567900</v>
      </c>
      <c r="AZ42" s="4">
        <v>1267021800</v>
      </c>
      <c r="BA42" s="4">
        <v>1343445500</v>
      </c>
      <c r="BB42" s="4">
        <v>1145078200</v>
      </c>
      <c r="BC42" s="4">
        <v>1344822300</v>
      </c>
      <c r="BD42" s="4">
        <v>1251916500</v>
      </c>
      <c r="BE42" s="4">
        <v>1231914200</v>
      </c>
      <c r="BF42" s="4">
        <v>1347860900</v>
      </c>
      <c r="BG42" s="4">
        <v>1330827750</v>
      </c>
      <c r="BH42" s="4">
        <v>1321034100</v>
      </c>
      <c r="BI42" s="4">
        <v>1282837500</v>
      </c>
      <c r="BJ42" s="4">
        <v>1351900500</v>
      </c>
      <c r="BK42" s="4">
        <v>1325348450</v>
      </c>
      <c r="BL42" s="4">
        <v>1407239000</v>
      </c>
    </row>
    <row r="43" spans="1:64" x14ac:dyDescent="0.25">
      <c r="A43" s="1">
        <v>35</v>
      </c>
      <c r="B43" s="3" t="s">
        <v>53</v>
      </c>
      <c r="C43" s="3" t="s">
        <v>54</v>
      </c>
      <c r="D43" s="3" t="s">
        <v>56</v>
      </c>
      <c r="E43" s="4">
        <v>1051802300</v>
      </c>
      <c r="F43" s="4">
        <v>848754300</v>
      </c>
      <c r="G43" s="4">
        <v>880788500</v>
      </c>
      <c r="H43" s="4">
        <v>836351200</v>
      </c>
      <c r="I43" s="4">
        <v>758933300</v>
      </c>
      <c r="J43" s="4">
        <v>835990400</v>
      </c>
      <c r="K43" s="4">
        <v>1010196200</v>
      </c>
      <c r="L43" s="4">
        <v>957805800</v>
      </c>
      <c r="M43" s="4">
        <v>864698200</v>
      </c>
      <c r="N43" s="4">
        <v>818503900</v>
      </c>
      <c r="O43" s="4">
        <v>768550200</v>
      </c>
      <c r="P43" s="4">
        <v>832659600</v>
      </c>
      <c r="Q43" s="4">
        <v>868878400</v>
      </c>
      <c r="R43" s="4">
        <v>727677700</v>
      </c>
      <c r="S43" s="4">
        <v>749844000</v>
      </c>
      <c r="T43" s="4">
        <v>747545100</v>
      </c>
      <c r="U43" s="4">
        <v>803336500</v>
      </c>
      <c r="V43" s="4">
        <v>708517000</v>
      </c>
      <c r="W43" s="4">
        <v>728241500</v>
      </c>
      <c r="X43" s="4">
        <v>815807500</v>
      </c>
      <c r="Y43" s="4">
        <v>842962500</v>
      </c>
      <c r="Z43" s="4">
        <v>794342600</v>
      </c>
      <c r="AA43" s="4">
        <v>792122300</v>
      </c>
      <c r="AB43" s="4">
        <v>907068600</v>
      </c>
      <c r="AC43" s="4">
        <v>972600100</v>
      </c>
      <c r="AD43" s="4">
        <v>858374200</v>
      </c>
      <c r="AE43" s="4">
        <v>941490400</v>
      </c>
      <c r="AF43" s="4">
        <v>840841000</v>
      </c>
      <c r="AG43" s="4">
        <v>675639000</v>
      </c>
      <c r="AH43" s="4">
        <v>886071200</v>
      </c>
      <c r="AI43" s="4">
        <v>993208200</v>
      </c>
      <c r="AJ43" s="4">
        <v>946422700</v>
      </c>
      <c r="AK43" s="4">
        <v>989306400</v>
      </c>
      <c r="AL43" s="4">
        <v>1072414000</v>
      </c>
      <c r="AM43" s="4">
        <v>1023181300</v>
      </c>
      <c r="AN43" s="4">
        <v>1019854000</v>
      </c>
      <c r="AO43" s="4">
        <v>1110319000</v>
      </c>
      <c r="AP43" s="4">
        <v>952529800</v>
      </c>
      <c r="AQ43" s="4">
        <v>972622100</v>
      </c>
      <c r="AR43" s="4">
        <v>967384800</v>
      </c>
      <c r="AS43" s="4">
        <v>887523400</v>
      </c>
      <c r="AT43" s="4">
        <v>982205300</v>
      </c>
      <c r="AU43" s="4">
        <v>1084802800</v>
      </c>
      <c r="AV43" s="4">
        <v>1003345100</v>
      </c>
      <c r="AW43" s="4">
        <v>991985100</v>
      </c>
      <c r="AX43" s="4">
        <v>1102680000</v>
      </c>
      <c r="AY43" s="4">
        <v>1001695300</v>
      </c>
      <c r="AZ43" s="4">
        <v>1132678500</v>
      </c>
      <c r="BA43" s="4">
        <v>1198880900</v>
      </c>
      <c r="BB43" s="4">
        <v>897627800</v>
      </c>
      <c r="BC43" s="4">
        <v>1155614000</v>
      </c>
      <c r="BD43" s="4">
        <v>1082794100</v>
      </c>
      <c r="BE43" s="4">
        <v>1004509700</v>
      </c>
      <c r="BF43" s="4">
        <v>1008735400</v>
      </c>
      <c r="BG43" s="4">
        <v>1125666800</v>
      </c>
      <c r="BH43" s="4">
        <v>1090870000</v>
      </c>
      <c r="BI43" s="4">
        <v>1062846900</v>
      </c>
      <c r="BJ43" s="4">
        <v>1084991300</v>
      </c>
      <c r="BK43" s="4">
        <v>1005482900</v>
      </c>
      <c r="BL43" s="4">
        <v>1190715700</v>
      </c>
    </row>
    <row r="44" spans="1:64" x14ac:dyDescent="0.25">
      <c r="A44" s="1">
        <v>47</v>
      </c>
      <c r="B44" s="3" t="s">
        <v>70</v>
      </c>
      <c r="C44" s="3" t="s">
        <v>71</v>
      </c>
      <c r="D44" s="3" t="s">
        <v>72</v>
      </c>
      <c r="E44" s="4">
        <v>72210000</v>
      </c>
      <c r="F44" s="4">
        <v>64139000</v>
      </c>
      <c r="G44" s="4">
        <v>70127000</v>
      </c>
      <c r="H44" s="4">
        <v>72264000</v>
      </c>
      <c r="I44" s="4">
        <v>76182150</v>
      </c>
      <c r="J44" s="4">
        <v>75793000</v>
      </c>
      <c r="K44" s="4">
        <v>87838000</v>
      </c>
      <c r="L44" s="4">
        <v>82745300</v>
      </c>
      <c r="M44" s="4">
        <v>70680050</v>
      </c>
      <c r="N44" s="4">
        <v>67102000</v>
      </c>
      <c r="O44" s="4">
        <v>68732000</v>
      </c>
      <c r="P44" s="4">
        <v>76956000</v>
      </c>
      <c r="Q44" s="4">
        <v>60475000</v>
      </c>
      <c r="R44" s="4">
        <v>61448000</v>
      </c>
      <c r="S44" s="4">
        <v>64090000</v>
      </c>
      <c r="T44" s="4">
        <v>61518350</v>
      </c>
      <c r="U44" s="4">
        <v>64909000</v>
      </c>
      <c r="V44" s="4">
        <v>61262000</v>
      </c>
      <c r="W44" s="4">
        <v>63361000</v>
      </c>
      <c r="X44" s="4">
        <v>52052000</v>
      </c>
      <c r="Y44" s="4">
        <v>37585000</v>
      </c>
      <c r="Z44" s="4">
        <v>38834000</v>
      </c>
      <c r="AA44" s="4">
        <v>36326000</v>
      </c>
      <c r="AB44" s="4">
        <v>39713000</v>
      </c>
      <c r="AC44" s="4">
        <v>31516000</v>
      </c>
      <c r="AD44" s="4">
        <v>35249000</v>
      </c>
      <c r="AE44" s="4">
        <v>35502000</v>
      </c>
      <c r="AF44" s="4">
        <v>38948000</v>
      </c>
      <c r="AG44" s="4">
        <v>38025000</v>
      </c>
      <c r="AH44" s="4">
        <v>35196000</v>
      </c>
      <c r="AI44" s="4">
        <v>38375200</v>
      </c>
      <c r="AJ44" s="4">
        <v>41066000</v>
      </c>
      <c r="AK44" s="4">
        <v>43929200</v>
      </c>
      <c r="AL44" s="4">
        <v>43372000</v>
      </c>
      <c r="AM44" s="4">
        <v>41777350</v>
      </c>
      <c r="AN44" s="4">
        <v>47241000</v>
      </c>
      <c r="AO44" s="4">
        <v>40087500</v>
      </c>
      <c r="AP44" s="4">
        <v>41714300</v>
      </c>
      <c r="AQ44" s="4">
        <v>48830950</v>
      </c>
      <c r="AR44" s="4">
        <v>42592000</v>
      </c>
      <c r="AS44" s="4">
        <v>43873500</v>
      </c>
      <c r="AT44" s="4">
        <v>40989100</v>
      </c>
      <c r="AU44" s="4">
        <v>45020100</v>
      </c>
      <c r="AV44" s="4">
        <v>46841100</v>
      </c>
      <c r="AW44" s="4">
        <v>46768000</v>
      </c>
      <c r="AX44" s="4">
        <v>48139400</v>
      </c>
      <c r="AY44" s="4">
        <v>47419100</v>
      </c>
      <c r="AZ44" s="4">
        <v>51503200</v>
      </c>
      <c r="BA44" s="4">
        <v>42268700</v>
      </c>
      <c r="BB44" s="4">
        <v>46380000</v>
      </c>
      <c r="BC44" s="4">
        <v>48632500</v>
      </c>
      <c r="BD44" s="4">
        <v>50210200</v>
      </c>
      <c r="BE44" s="4">
        <v>50233700</v>
      </c>
      <c r="BF44" s="4">
        <v>46826000</v>
      </c>
      <c r="BG44" s="4">
        <v>49920600</v>
      </c>
      <c r="BH44" s="4">
        <v>53726000</v>
      </c>
      <c r="BI44" s="4">
        <v>51338200</v>
      </c>
      <c r="BJ44" s="4">
        <v>52761200</v>
      </c>
      <c r="BK44" s="4">
        <v>51385000</v>
      </c>
      <c r="BL44" s="4">
        <v>58381000</v>
      </c>
    </row>
    <row r="45" spans="1:64" x14ac:dyDescent="0.25">
      <c r="A45" s="1">
        <v>77</v>
      </c>
      <c r="B45" s="3" t="s">
        <v>109</v>
      </c>
      <c r="C45" s="3" t="s">
        <v>110</v>
      </c>
      <c r="D45" s="3" t="s">
        <v>111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1581873450</v>
      </c>
      <c r="P45" s="4">
        <v>3434044200</v>
      </c>
      <c r="Q45" s="4">
        <v>3477633400</v>
      </c>
      <c r="R45" s="4">
        <v>2981689350</v>
      </c>
      <c r="S45" s="4">
        <v>3155484750</v>
      </c>
      <c r="T45" s="4">
        <v>3244057850</v>
      </c>
      <c r="U45" s="4">
        <v>3203853100</v>
      </c>
      <c r="V45" s="4">
        <v>3472114000</v>
      </c>
      <c r="W45" s="4">
        <v>4275192300</v>
      </c>
      <c r="X45" s="4">
        <v>4198985500</v>
      </c>
      <c r="Y45" s="4">
        <v>4144502200</v>
      </c>
      <c r="Z45" s="4">
        <v>4182189000</v>
      </c>
      <c r="AA45" s="4">
        <v>3875669200</v>
      </c>
      <c r="AB45" s="4">
        <v>4472881100</v>
      </c>
      <c r="AC45" s="4">
        <v>4343221850</v>
      </c>
      <c r="AD45" s="4">
        <v>3484043100</v>
      </c>
      <c r="AE45" s="4">
        <v>3722803400</v>
      </c>
      <c r="AF45" s="4">
        <v>3326481000</v>
      </c>
      <c r="AG45" s="4">
        <v>3384214800</v>
      </c>
      <c r="AH45" s="4">
        <v>3330630800</v>
      </c>
      <c r="AI45" s="4">
        <v>3289481150</v>
      </c>
      <c r="AJ45" s="4">
        <v>3728333050</v>
      </c>
      <c r="AK45" s="4">
        <v>3412531800</v>
      </c>
      <c r="AL45" s="4">
        <v>3715710300</v>
      </c>
      <c r="AM45" s="4">
        <v>3659202200</v>
      </c>
      <c r="AN45" s="4">
        <v>4108136500</v>
      </c>
      <c r="AO45" s="4">
        <v>4251160700</v>
      </c>
      <c r="AP45" s="4">
        <v>3300215500</v>
      </c>
      <c r="AQ45" s="4">
        <v>3734907500</v>
      </c>
      <c r="AR45" s="4">
        <v>3824329700</v>
      </c>
      <c r="AS45" s="4">
        <v>4176579400</v>
      </c>
      <c r="AT45" s="4">
        <v>3990589900</v>
      </c>
      <c r="AU45" s="4">
        <v>3930628600</v>
      </c>
      <c r="AV45" s="4">
        <v>4082207200</v>
      </c>
      <c r="AW45" s="4">
        <v>3821933800</v>
      </c>
      <c r="AX45" s="4">
        <v>4277834750</v>
      </c>
      <c r="AY45" s="4">
        <v>4136479200</v>
      </c>
      <c r="AZ45" s="4">
        <v>4576443400</v>
      </c>
      <c r="BA45" s="4">
        <v>4603129200</v>
      </c>
      <c r="BB45" s="4">
        <v>3551916500</v>
      </c>
      <c r="BC45" s="4">
        <v>4077901300</v>
      </c>
      <c r="BD45" s="4">
        <v>3915263500</v>
      </c>
      <c r="BE45" s="4">
        <v>3778416900</v>
      </c>
      <c r="BF45" s="4">
        <v>3796201400</v>
      </c>
      <c r="BG45" s="4">
        <v>4019558400</v>
      </c>
      <c r="BH45" s="4">
        <v>3970927500</v>
      </c>
      <c r="BI45" s="4">
        <v>3820196700</v>
      </c>
      <c r="BJ45" s="4">
        <v>4103290000</v>
      </c>
      <c r="BK45" s="4">
        <v>4218156100</v>
      </c>
      <c r="BL45" s="4">
        <v>5056705250</v>
      </c>
    </row>
    <row r="46" spans="1:64" s="10" customFormat="1" x14ac:dyDescent="0.25">
      <c r="A46" s="8">
        <v>31</v>
      </c>
      <c r="B46" s="8" t="s">
        <v>48</v>
      </c>
      <c r="C46" s="8" t="s">
        <v>49</v>
      </c>
      <c r="D46" s="8" t="s">
        <v>50</v>
      </c>
      <c r="E46" s="11">
        <v>1583905650</v>
      </c>
      <c r="F46" s="11">
        <v>1265251300</v>
      </c>
      <c r="G46" s="11">
        <v>1239207550</v>
      </c>
      <c r="H46" s="11">
        <v>1370048350</v>
      </c>
      <c r="I46" s="11">
        <v>1123290200</v>
      </c>
      <c r="J46" s="11">
        <v>1453492550</v>
      </c>
      <c r="K46" s="11">
        <v>1462163900</v>
      </c>
      <c r="L46" s="11">
        <v>1312697350</v>
      </c>
      <c r="M46" s="11">
        <v>1233909300</v>
      </c>
      <c r="N46" s="11">
        <v>1360875150</v>
      </c>
      <c r="O46" s="11">
        <v>1316762650</v>
      </c>
      <c r="P46" s="11">
        <v>1524810800</v>
      </c>
      <c r="Q46" s="11">
        <v>1504181000</v>
      </c>
      <c r="R46" s="11">
        <v>1105841400</v>
      </c>
      <c r="S46" s="11">
        <v>1248370350</v>
      </c>
      <c r="T46" s="11">
        <v>1265800200</v>
      </c>
      <c r="U46" s="11">
        <v>1244519700</v>
      </c>
      <c r="V46" s="11">
        <v>1510505400</v>
      </c>
      <c r="W46" s="11">
        <v>1471668550</v>
      </c>
      <c r="X46" s="11">
        <v>1370352600</v>
      </c>
      <c r="Y46" s="11">
        <v>1270040700</v>
      </c>
      <c r="Z46" s="11">
        <v>1407550900</v>
      </c>
      <c r="AA46" s="11">
        <v>1343294400</v>
      </c>
      <c r="AB46" s="11">
        <v>1619474200</v>
      </c>
      <c r="AC46" s="11">
        <v>1651865050</v>
      </c>
      <c r="AD46" s="11">
        <v>1229394650</v>
      </c>
      <c r="AE46" s="11">
        <v>1495216700</v>
      </c>
      <c r="AF46" s="11">
        <v>1356368700</v>
      </c>
      <c r="AG46" s="11">
        <v>1390284700</v>
      </c>
      <c r="AH46" s="11">
        <v>530533200</v>
      </c>
      <c r="AI46" s="11">
        <v>1500580100</v>
      </c>
      <c r="AJ46" s="11">
        <v>1544422750</v>
      </c>
      <c r="AK46" s="11">
        <v>1371321200</v>
      </c>
      <c r="AL46" s="11">
        <v>1515203600</v>
      </c>
      <c r="AM46" s="11">
        <v>1479848700</v>
      </c>
      <c r="AN46" s="11">
        <v>1776403350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</row>
    <row r="47" spans="1:64" s="10" customFormat="1" x14ac:dyDescent="0.25">
      <c r="A47" s="8">
        <v>134</v>
      </c>
      <c r="B47" s="8" t="s">
        <v>199</v>
      </c>
      <c r="C47" s="8" t="s">
        <v>200</v>
      </c>
      <c r="D47" s="8" t="s">
        <v>50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530533200</v>
      </c>
      <c r="AI47" s="11">
        <v>1500580100</v>
      </c>
      <c r="AJ47" s="11">
        <v>1544422750</v>
      </c>
      <c r="AK47" s="11">
        <v>1371321200</v>
      </c>
      <c r="AL47" s="11">
        <v>1515203600</v>
      </c>
      <c r="AM47" s="11">
        <v>1479848700</v>
      </c>
      <c r="AN47" s="11">
        <v>1776403350</v>
      </c>
      <c r="AO47" s="11">
        <v>1796282750</v>
      </c>
      <c r="AP47" s="11">
        <v>1365968400</v>
      </c>
      <c r="AQ47" s="11">
        <v>1543461400</v>
      </c>
      <c r="AR47" s="11">
        <v>1675435350</v>
      </c>
      <c r="AS47" s="11">
        <v>1493232950</v>
      </c>
      <c r="AT47" s="11">
        <v>1719273050</v>
      </c>
      <c r="AU47" s="11">
        <v>1802871300</v>
      </c>
      <c r="AV47" s="11">
        <v>1632366000</v>
      </c>
      <c r="AW47" s="11">
        <v>1506771400</v>
      </c>
      <c r="AX47" s="11">
        <v>1701693550</v>
      </c>
      <c r="AY47" s="11">
        <v>1653301050</v>
      </c>
      <c r="AZ47" s="11">
        <v>2046333200</v>
      </c>
      <c r="BA47" s="11">
        <v>2037028200</v>
      </c>
      <c r="BB47" s="11">
        <v>1500550400</v>
      </c>
      <c r="BC47" s="11">
        <v>1862167170</v>
      </c>
      <c r="BD47" s="11">
        <v>1660511900</v>
      </c>
      <c r="BE47" s="11">
        <v>1658556700</v>
      </c>
      <c r="BF47" s="11">
        <v>1874052800</v>
      </c>
      <c r="BG47" s="11">
        <v>1919087550</v>
      </c>
      <c r="BH47" s="11">
        <v>1797044050</v>
      </c>
      <c r="BI47" s="11">
        <v>1646320050</v>
      </c>
      <c r="BJ47" s="11">
        <v>1905969200</v>
      </c>
      <c r="BK47" s="11">
        <v>1865765550</v>
      </c>
      <c r="BL47" s="11">
        <v>2224884950</v>
      </c>
    </row>
    <row r="48" spans="1:64" x14ac:dyDescent="0.25">
      <c r="A48" s="1">
        <v>103</v>
      </c>
      <c r="B48" s="3" t="s">
        <v>157</v>
      </c>
      <c r="C48" s="3" t="s">
        <v>158</v>
      </c>
      <c r="D48" s="3" t="s">
        <v>159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603535800</v>
      </c>
      <c r="AJ48" s="4">
        <v>699828700</v>
      </c>
      <c r="AK48" s="4">
        <v>627702300</v>
      </c>
      <c r="AL48" s="4">
        <v>670084600</v>
      </c>
      <c r="AM48" s="4">
        <v>668215500</v>
      </c>
      <c r="AN48" s="4">
        <v>754098700</v>
      </c>
      <c r="AO48" s="4">
        <v>780967900</v>
      </c>
      <c r="AP48" s="4">
        <v>644494500</v>
      </c>
      <c r="AQ48" s="4">
        <v>679920300</v>
      </c>
      <c r="AR48" s="4">
        <v>727289300</v>
      </c>
      <c r="AS48" s="4">
        <v>720243400</v>
      </c>
      <c r="AT48" s="4">
        <v>705948100</v>
      </c>
      <c r="AU48" s="4">
        <v>734409500</v>
      </c>
      <c r="AV48" s="4">
        <v>742064000</v>
      </c>
      <c r="AW48" s="4">
        <v>701635300</v>
      </c>
      <c r="AX48" s="4">
        <v>787062800</v>
      </c>
      <c r="AY48" s="4">
        <v>758104800</v>
      </c>
      <c r="AZ48" s="4">
        <v>839589700</v>
      </c>
      <c r="BA48" s="4">
        <v>840544750</v>
      </c>
      <c r="BB48" s="4">
        <v>646295500</v>
      </c>
      <c r="BC48" s="4">
        <v>755910808</v>
      </c>
      <c r="BD48" s="4">
        <v>754531800</v>
      </c>
      <c r="BE48" s="4">
        <v>580060700</v>
      </c>
      <c r="BF48" s="4">
        <v>741190400</v>
      </c>
      <c r="BG48" s="4">
        <v>787753300</v>
      </c>
      <c r="BH48" s="4">
        <v>772916900</v>
      </c>
      <c r="BI48" s="4">
        <v>718523700</v>
      </c>
      <c r="BJ48" s="4">
        <v>755005900</v>
      </c>
      <c r="BK48" s="4">
        <v>716675300</v>
      </c>
      <c r="BL48" s="4">
        <v>891568600</v>
      </c>
    </row>
    <row r="49" spans="1:64" s="10" customFormat="1" x14ac:dyDescent="0.25">
      <c r="A49" s="8">
        <v>69</v>
      </c>
      <c r="B49" s="8" t="s">
        <v>95</v>
      </c>
      <c r="C49" s="8" t="s">
        <v>96</v>
      </c>
      <c r="D49" s="8" t="s">
        <v>99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226454900</v>
      </c>
      <c r="AA49" s="11">
        <v>1642501200</v>
      </c>
      <c r="AB49" s="11">
        <v>1991416400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</row>
    <row r="50" spans="1:64" s="10" customFormat="1" x14ac:dyDescent="0.25">
      <c r="A50" s="8">
        <v>145</v>
      </c>
      <c r="B50" s="8" t="s">
        <v>216</v>
      </c>
      <c r="C50" s="8" t="s">
        <v>217</v>
      </c>
      <c r="D50" s="8" t="s">
        <v>99</v>
      </c>
      <c r="E50" s="11">
        <v>1419929100</v>
      </c>
      <c r="F50" s="11">
        <v>1183060000</v>
      </c>
      <c r="G50" s="11">
        <v>1297689800</v>
      </c>
      <c r="H50" s="11">
        <v>1354527200</v>
      </c>
      <c r="I50" s="11">
        <v>1290496300</v>
      </c>
      <c r="J50" s="11">
        <v>1320263900</v>
      </c>
      <c r="K50" s="11">
        <v>1442550000</v>
      </c>
      <c r="L50" s="11">
        <v>1419616100</v>
      </c>
      <c r="M50" s="11">
        <v>1307574000</v>
      </c>
      <c r="N50" s="11">
        <v>1388896900</v>
      </c>
      <c r="O50" s="11">
        <v>1602286400</v>
      </c>
      <c r="P50" s="11">
        <v>1665846100</v>
      </c>
      <c r="Q50" s="11">
        <v>1649757500</v>
      </c>
      <c r="R50" s="11">
        <v>1370448400</v>
      </c>
      <c r="S50" s="11">
        <v>1402668700</v>
      </c>
      <c r="T50" s="11">
        <v>1549177100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1912606260</v>
      </c>
      <c r="AD50" s="11">
        <v>1643486700</v>
      </c>
      <c r="AE50" s="11">
        <v>1882526400</v>
      </c>
      <c r="AF50" s="11">
        <v>1757557000</v>
      </c>
      <c r="AG50" s="11">
        <v>1846765200</v>
      </c>
      <c r="AH50" s="11">
        <v>1376947400</v>
      </c>
      <c r="AI50" s="11">
        <v>1595026500</v>
      </c>
      <c r="AJ50" s="11">
        <v>2114986700</v>
      </c>
      <c r="AK50" s="11">
        <v>1775657600</v>
      </c>
      <c r="AL50" s="11">
        <v>1840207400</v>
      </c>
      <c r="AM50" s="11">
        <v>1843770600</v>
      </c>
      <c r="AN50" s="11">
        <v>2138665250</v>
      </c>
      <c r="AO50" s="11">
        <v>2049444200</v>
      </c>
      <c r="AP50" s="11">
        <v>1716857800</v>
      </c>
      <c r="AQ50" s="11">
        <v>1771840600</v>
      </c>
      <c r="AR50" s="11">
        <v>1851303000</v>
      </c>
      <c r="AS50" s="11">
        <v>1829400050</v>
      </c>
      <c r="AT50" s="11">
        <v>1843700300</v>
      </c>
      <c r="AU50" s="11">
        <v>2038911700</v>
      </c>
      <c r="AV50" s="11">
        <v>1998554950</v>
      </c>
      <c r="AW50" s="11">
        <v>1855225450</v>
      </c>
      <c r="AX50" s="11">
        <v>1885397550</v>
      </c>
      <c r="AY50" s="11">
        <v>1873566900</v>
      </c>
      <c r="AZ50" s="11">
        <v>2236577450</v>
      </c>
      <c r="BA50" s="11">
        <v>2174293050</v>
      </c>
      <c r="BB50" s="11">
        <v>1797840150</v>
      </c>
      <c r="BC50" s="11">
        <v>2109521350</v>
      </c>
      <c r="BD50" s="11">
        <v>1985467250</v>
      </c>
      <c r="BE50" s="11">
        <v>2034015650</v>
      </c>
      <c r="BF50" s="11">
        <v>2027698900</v>
      </c>
      <c r="BG50" s="11">
        <v>2166842200</v>
      </c>
      <c r="BH50" s="11">
        <v>2112929000</v>
      </c>
      <c r="BI50" s="11">
        <v>1946893000</v>
      </c>
      <c r="BJ50" s="11">
        <v>1981968850</v>
      </c>
      <c r="BK50" s="11">
        <v>1892676900</v>
      </c>
      <c r="BL50" s="11">
        <v>2145544250</v>
      </c>
    </row>
    <row r="51" spans="1:64" x14ac:dyDescent="0.25">
      <c r="A51" s="1">
        <v>53</v>
      </c>
      <c r="B51" s="3" t="s">
        <v>79</v>
      </c>
      <c r="C51" s="3" t="s">
        <v>80</v>
      </c>
      <c r="D51" s="3" t="s">
        <v>82</v>
      </c>
      <c r="E51" s="4">
        <v>3964940200</v>
      </c>
      <c r="F51" s="4">
        <v>3098164100</v>
      </c>
      <c r="G51" s="4">
        <v>3521255400</v>
      </c>
      <c r="H51" s="4">
        <v>3584681600</v>
      </c>
      <c r="I51" s="4">
        <v>3139827400</v>
      </c>
      <c r="J51" s="4">
        <v>3531072100</v>
      </c>
      <c r="K51" s="4">
        <v>3437789100</v>
      </c>
      <c r="L51" s="4">
        <v>3652019500</v>
      </c>
      <c r="M51" s="4">
        <v>3266568500</v>
      </c>
      <c r="N51" s="4">
        <v>3671945600</v>
      </c>
      <c r="O51" s="4">
        <v>3576584100</v>
      </c>
      <c r="P51" s="4">
        <v>4507679500</v>
      </c>
      <c r="Q51" s="4">
        <v>4370718000</v>
      </c>
      <c r="R51" s="4">
        <v>3365373500</v>
      </c>
      <c r="S51" s="4">
        <v>3640153200</v>
      </c>
      <c r="T51" s="4">
        <v>3862135300</v>
      </c>
      <c r="U51" s="4">
        <v>3940390800</v>
      </c>
      <c r="V51" s="4">
        <v>4005695800</v>
      </c>
      <c r="W51" s="4">
        <v>3892343100</v>
      </c>
      <c r="X51" s="4">
        <v>3963409000</v>
      </c>
      <c r="Y51" s="4">
        <v>3534891100</v>
      </c>
      <c r="Z51" s="4">
        <v>4070004400</v>
      </c>
      <c r="AA51" s="4">
        <v>3885221800</v>
      </c>
      <c r="AB51" s="4">
        <v>4943635000</v>
      </c>
      <c r="AC51" s="4">
        <v>4794447100</v>
      </c>
      <c r="AD51" s="4">
        <v>3770661800</v>
      </c>
      <c r="AE51" s="4">
        <v>4631296350</v>
      </c>
      <c r="AF51" s="4">
        <v>3763046950</v>
      </c>
      <c r="AG51" s="4">
        <v>4237666550</v>
      </c>
      <c r="AH51" s="4">
        <v>3919023250</v>
      </c>
      <c r="AI51" s="4">
        <v>3730474700</v>
      </c>
      <c r="AJ51" s="4">
        <v>4378054450</v>
      </c>
      <c r="AK51" s="4">
        <v>3941526800</v>
      </c>
      <c r="AL51" s="4">
        <v>4435054550</v>
      </c>
      <c r="AM51" s="4">
        <v>4267193300</v>
      </c>
      <c r="AN51" s="4">
        <v>5364564200</v>
      </c>
      <c r="AO51" s="4">
        <v>5205552350</v>
      </c>
      <c r="AP51" s="4">
        <v>4065230200</v>
      </c>
      <c r="AQ51" s="4">
        <v>4453022150</v>
      </c>
      <c r="AR51" s="4">
        <v>4819162350</v>
      </c>
      <c r="AS51" s="4">
        <v>4535709900</v>
      </c>
      <c r="AT51" s="4">
        <v>4639179350</v>
      </c>
      <c r="AU51" s="4">
        <v>4915089150</v>
      </c>
      <c r="AV51" s="4">
        <v>4849133550</v>
      </c>
      <c r="AW51" s="4">
        <v>4287092800</v>
      </c>
      <c r="AX51" s="4">
        <v>4891252500</v>
      </c>
      <c r="AY51" s="4">
        <v>4718687150</v>
      </c>
      <c r="AZ51" s="4">
        <v>6125827150</v>
      </c>
      <c r="BA51" s="4">
        <v>5709170400</v>
      </c>
      <c r="BB51" s="4">
        <v>4302392000</v>
      </c>
      <c r="BC51" s="4">
        <v>5371967800</v>
      </c>
      <c r="BD51" s="4">
        <v>4654001500</v>
      </c>
      <c r="BE51" s="4">
        <v>4834147650</v>
      </c>
      <c r="BF51" s="4">
        <v>5180678700</v>
      </c>
      <c r="BG51" s="4">
        <v>5428986950</v>
      </c>
      <c r="BH51" s="4">
        <v>5454029600</v>
      </c>
      <c r="BI51" s="4">
        <v>4976669050</v>
      </c>
      <c r="BJ51" s="4">
        <v>5452719500</v>
      </c>
      <c r="BK51" s="4">
        <v>5424347650</v>
      </c>
      <c r="BL51" s="4">
        <v>6958094150</v>
      </c>
    </row>
    <row r="52" spans="1:64" x14ac:dyDescent="0.25">
      <c r="A52" s="1">
        <v>41</v>
      </c>
      <c r="B52" s="3" t="s">
        <v>59</v>
      </c>
      <c r="C52" s="3" t="s">
        <v>60</v>
      </c>
      <c r="D52" s="3" t="s">
        <v>64</v>
      </c>
      <c r="E52" s="4">
        <v>2754951500</v>
      </c>
      <c r="F52" s="4">
        <v>2549650350</v>
      </c>
      <c r="G52" s="4">
        <v>2660190200</v>
      </c>
      <c r="H52" s="4">
        <v>2695291650</v>
      </c>
      <c r="I52" s="4">
        <v>2817989800</v>
      </c>
      <c r="J52" s="4">
        <v>2682920400</v>
      </c>
      <c r="K52" s="4">
        <v>2906444750</v>
      </c>
      <c r="L52" s="4">
        <v>2936556300</v>
      </c>
      <c r="M52" s="4">
        <v>2745105550</v>
      </c>
      <c r="N52" s="4">
        <v>2892645600</v>
      </c>
      <c r="O52" s="4">
        <v>2842861400</v>
      </c>
      <c r="P52" s="4">
        <v>3286728400</v>
      </c>
      <c r="Q52" s="4">
        <v>2986783800</v>
      </c>
      <c r="R52" s="4">
        <v>2726630600</v>
      </c>
      <c r="S52" s="4">
        <v>3003306900</v>
      </c>
      <c r="T52" s="4">
        <v>2875000800</v>
      </c>
      <c r="U52" s="4">
        <v>2890193000</v>
      </c>
      <c r="V52" s="4">
        <v>2852268500</v>
      </c>
      <c r="W52" s="4">
        <v>2970921300</v>
      </c>
      <c r="X52" s="4">
        <v>2972918000</v>
      </c>
      <c r="Y52" s="4">
        <v>2773267600</v>
      </c>
      <c r="Z52" s="4">
        <v>2982160300</v>
      </c>
      <c r="AA52" s="4">
        <v>2966511950</v>
      </c>
      <c r="AB52" s="4">
        <v>3470752000</v>
      </c>
      <c r="AC52" s="4">
        <v>3152839800</v>
      </c>
      <c r="AD52" s="4">
        <v>3044381500</v>
      </c>
      <c r="AE52" s="4">
        <v>3252544650</v>
      </c>
      <c r="AF52" s="4">
        <v>3157865200</v>
      </c>
      <c r="AG52" s="4">
        <v>3333523200</v>
      </c>
      <c r="AH52" s="4">
        <v>3403417900</v>
      </c>
      <c r="AI52" s="4">
        <v>3709003500</v>
      </c>
      <c r="AJ52" s="4">
        <v>3579658700</v>
      </c>
      <c r="AK52" s="4">
        <v>3347755200</v>
      </c>
      <c r="AL52" s="4">
        <v>3497736600</v>
      </c>
      <c r="AM52" s="4">
        <v>3502383500</v>
      </c>
      <c r="AN52" s="4">
        <v>3973402900</v>
      </c>
      <c r="AO52" s="4">
        <v>3682356400</v>
      </c>
      <c r="AP52" s="4">
        <v>3322669400</v>
      </c>
      <c r="AQ52" s="4">
        <v>3696703800</v>
      </c>
      <c r="AR52" s="4">
        <v>3565013800</v>
      </c>
      <c r="AS52" s="4">
        <v>3693053600</v>
      </c>
      <c r="AT52" s="4">
        <v>3717943700</v>
      </c>
      <c r="AU52" s="4">
        <v>3967965200</v>
      </c>
      <c r="AV52" s="4">
        <v>3873777200</v>
      </c>
      <c r="AW52" s="4">
        <v>3464762600</v>
      </c>
      <c r="AX52" s="4">
        <v>3483861100</v>
      </c>
      <c r="AY52" s="4">
        <v>3537194200</v>
      </c>
      <c r="AZ52" s="4">
        <v>4147623600</v>
      </c>
      <c r="BA52" s="4">
        <v>3797149000</v>
      </c>
      <c r="BB52" s="4">
        <v>3499018400</v>
      </c>
      <c r="BC52" s="4">
        <v>3893755600</v>
      </c>
      <c r="BD52" s="4">
        <v>3698563500</v>
      </c>
      <c r="BE52" s="4">
        <v>3831154200</v>
      </c>
      <c r="BF52" s="4">
        <v>3806070700</v>
      </c>
      <c r="BG52" s="4">
        <v>4041849000</v>
      </c>
      <c r="BH52" s="4">
        <v>4044948900</v>
      </c>
      <c r="BI52" s="4">
        <v>3821469900</v>
      </c>
      <c r="BJ52" s="4">
        <v>4006129100</v>
      </c>
      <c r="BK52" s="4">
        <v>0</v>
      </c>
      <c r="BL52" s="4">
        <v>0</v>
      </c>
    </row>
    <row r="53" spans="1:64" s="10" customFormat="1" x14ac:dyDescent="0.25">
      <c r="A53" s="8">
        <v>32</v>
      </c>
      <c r="B53" s="8" t="s">
        <v>48</v>
      </c>
      <c r="C53" s="8" t="s">
        <v>49</v>
      </c>
      <c r="D53" s="8" t="s">
        <v>51</v>
      </c>
      <c r="E53" s="11">
        <v>2239211250</v>
      </c>
      <c r="F53" s="11">
        <v>1620010750</v>
      </c>
      <c r="G53" s="11">
        <v>1795795800</v>
      </c>
      <c r="H53" s="11">
        <v>1948319400</v>
      </c>
      <c r="I53" s="11">
        <v>3514871400</v>
      </c>
      <c r="J53" s="11">
        <v>2052091450</v>
      </c>
      <c r="K53" s="11">
        <v>1994640300</v>
      </c>
      <c r="L53" s="11">
        <v>1833356100</v>
      </c>
      <c r="M53" s="11">
        <v>1766910900</v>
      </c>
      <c r="N53" s="11">
        <v>1995247800</v>
      </c>
      <c r="O53" s="11">
        <v>1798138300</v>
      </c>
      <c r="P53" s="11">
        <v>2207313400</v>
      </c>
      <c r="Q53" s="11">
        <v>2270240900</v>
      </c>
      <c r="R53" s="11">
        <v>1636187900</v>
      </c>
      <c r="S53" s="11">
        <v>1877102100</v>
      </c>
      <c r="T53" s="11">
        <v>1884903700</v>
      </c>
      <c r="U53" s="11">
        <v>1902135600</v>
      </c>
      <c r="V53" s="11">
        <v>2317644700</v>
      </c>
      <c r="W53" s="11">
        <v>2238575750</v>
      </c>
      <c r="X53" s="11">
        <v>2131485700</v>
      </c>
      <c r="Y53" s="11">
        <v>2124157700</v>
      </c>
      <c r="Z53" s="11">
        <v>2165852100</v>
      </c>
      <c r="AA53" s="11">
        <v>2039115600</v>
      </c>
      <c r="AB53" s="11">
        <v>2447922600</v>
      </c>
      <c r="AC53" s="11">
        <v>2518146050</v>
      </c>
      <c r="AD53" s="11">
        <v>1821844500</v>
      </c>
      <c r="AE53" s="11">
        <v>2156705350</v>
      </c>
      <c r="AF53" s="11">
        <v>1842479200</v>
      </c>
      <c r="AG53" s="11">
        <v>2052641800</v>
      </c>
      <c r="AH53" s="11">
        <v>770073000</v>
      </c>
      <c r="AI53" s="11">
        <v>2409992300</v>
      </c>
      <c r="AJ53" s="11">
        <v>2204147100</v>
      </c>
      <c r="AK53" s="11">
        <v>1990727200</v>
      </c>
      <c r="AL53" s="11">
        <v>2159697000</v>
      </c>
      <c r="AM53" s="11">
        <v>2001630150</v>
      </c>
      <c r="AN53" s="11">
        <v>2478923850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</row>
    <row r="54" spans="1:64" s="10" customFormat="1" x14ac:dyDescent="0.25">
      <c r="A54" s="8">
        <v>135</v>
      </c>
      <c r="B54" s="8" t="s">
        <v>199</v>
      </c>
      <c r="C54" s="8" t="s">
        <v>200</v>
      </c>
      <c r="D54" s="8" t="s">
        <v>51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770073000</v>
      </c>
      <c r="AI54" s="11">
        <v>2409992300</v>
      </c>
      <c r="AJ54" s="11">
        <v>2204147100</v>
      </c>
      <c r="AK54" s="11">
        <v>1990727200</v>
      </c>
      <c r="AL54" s="11">
        <v>2159697000</v>
      </c>
      <c r="AM54" s="11">
        <v>2001630150</v>
      </c>
      <c r="AN54" s="11">
        <v>2478923850</v>
      </c>
      <c r="AO54" s="11">
        <v>2662091100</v>
      </c>
      <c r="AP54" s="11">
        <v>1982193450</v>
      </c>
      <c r="AQ54" s="11">
        <v>2224760800</v>
      </c>
      <c r="AR54" s="11">
        <v>2434459950</v>
      </c>
      <c r="AS54" s="11">
        <v>2245076200</v>
      </c>
      <c r="AT54" s="11">
        <v>2621905650</v>
      </c>
      <c r="AU54" s="11">
        <v>2766246000</v>
      </c>
      <c r="AV54" s="11">
        <v>2469741150</v>
      </c>
      <c r="AW54" s="11">
        <v>2229927400</v>
      </c>
      <c r="AX54" s="11">
        <v>2405512700</v>
      </c>
      <c r="AY54" s="11">
        <v>2293059600</v>
      </c>
      <c r="AZ54" s="11">
        <v>2875876150</v>
      </c>
      <c r="BA54" s="11">
        <v>2925890400</v>
      </c>
      <c r="BB54" s="11">
        <v>2149918700</v>
      </c>
      <c r="BC54" s="11">
        <v>2677366700</v>
      </c>
      <c r="BD54" s="11">
        <v>2360112900</v>
      </c>
      <c r="BE54" s="11">
        <v>2340389200</v>
      </c>
      <c r="BF54" s="11">
        <v>2729106700</v>
      </c>
      <c r="BG54" s="11">
        <v>2987495450</v>
      </c>
      <c r="BH54" s="11">
        <v>2819450700</v>
      </c>
      <c r="BI54" s="11">
        <v>2525268900</v>
      </c>
      <c r="BJ54" s="11">
        <v>2869363250</v>
      </c>
      <c r="BK54" s="11">
        <v>2678471200</v>
      </c>
      <c r="BL54" s="11">
        <v>3237072750</v>
      </c>
    </row>
    <row r="55" spans="1:64" s="10" customFormat="1" x14ac:dyDescent="0.25">
      <c r="A55" s="8">
        <v>18</v>
      </c>
      <c r="B55" s="8" t="s">
        <v>26</v>
      </c>
      <c r="C55" s="8" t="s">
        <v>27</v>
      </c>
      <c r="D55" s="8" t="s">
        <v>29</v>
      </c>
      <c r="E55" s="11">
        <v>483474600</v>
      </c>
      <c r="F55" s="11">
        <v>576078600</v>
      </c>
      <c r="G55" s="11">
        <v>689395600</v>
      </c>
      <c r="H55" s="11">
        <v>638467600</v>
      </c>
      <c r="I55" s="11">
        <v>680755500</v>
      </c>
      <c r="J55" s="11">
        <v>548841950</v>
      </c>
      <c r="K55" s="11">
        <v>550113600</v>
      </c>
      <c r="L55" s="11">
        <v>667430600</v>
      </c>
      <c r="M55" s="11">
        <v>615005500</v>
      </c>
      <c r="N55" s="11">
        <v>579259200</v>
      </c>
      <c r="O55" s="11">
        <v>598408100</v>
      </c>
      <c r="P55" s="11">
        <v>584588100</v>
      </c>
      <c r="Q55" s="11">
        <v>502552800</v>
      </c>
      <c r="R55" s="11">
        <v>625779400</v>
      </c>
      <c r="S55" s="11">
        <v>705327700</v>
      </c>
      <c r="T55" s="11">
        <v>624042900</v>
      </c>
      <c r="U55" s="11">
        <v>743971500</v>
      </c>
      <c r="V55" s="11">
        <v>675878200</v>
      </c>
      <c r="W55" s="11">
        <v>649836100</v>
      </c>
      <c r="X55" s="11">
        <v>758773800</v>
      </c>
      <c r="Y55" s="11">
        <v>738409200</v>
      </c>
      <c r="Z55" s="11">
        <v>823422300</v>
      </c>
      <c r="AA55" s="11">
        <v>800711100</v>
      </c>
      <c r="AB55" s="11">
        <v>807579500</v>
      </c>
      <c r="AC55" s="11">
        <v>690110300</v>
      </c>
      <c r="AD55" s="11">
        <v>793955100</v>
      </c>
      <c r="AE55" s="11">
        <v>816152300</v>
      </c>
      <c r="AF55" s="11">
        <v>863914800</v>
      </c>
      <c r="AG55" s="11">
        <v>887532000</v>
      </c>
      <c r="AH55" s="11">
        <v>794106000</v>
      </c>
      <c r="AI55" s="11">
        <v>733383700</v>
      </c>
      <c r="AJ55" s="11">
        <v>853357900</v>
      </c>
      <c r="AK55" s="11">
        <v>892875200</v>
      </c>
      <c r="AL55" s="11">
        <v>854110200</v>
      </c>
      <c r="AM55" s="11">
        <v>867401500</v>
      </c>
      <c r="AN55" s="11">
        <v>879384800</v>
      </c>
      <c r="AO55" s="11">
        <v>735601500</v>
      </c>
      <c r="AP55" s="11">
        <v>885481400</v>
      </c>
      <c r="AQ55" s="11">
        <v>1001671200</v>
      </c>
      <c r="AR55" s="11">
        <v>857421900</v>
      </c>
      <c r="AS55" s="11">
        <v>898013000</v>
      </c>
      <c r="AT55" s="11">
        <v>807393700</v>
      </c>
      <c r="AU55" s="11">
        <v>766153987</v>
      </c>
      <c r="AV55" s="11">
        <v>905322200</v>
      </c>
      <c r="AW55" s="11">
        <v>851966900</v>
      </c>
      <c r="AX55" s="11">
        <v>842269800</v>
      </c>
      <c r="AY55" s="11">
        <v>866421600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</row>
    <row r="56" spans="1:64" s="10" customFormat="1" x14ac:dyDescent="0.25">
      <c r="A56" s="8">
        <v>113</v>
      </c>
      <c r="B56" s="8" t="s">
        <v>175</v>
      </c>
      <c r="C56" s="8" t="s">
        <v>176</v>
      </c>
      <c r="D56" s="8" t="s">
        <v>29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905829400</v>
      </c>
      <c r="BA56" s="11">
        <v>736880100</v>
      </c>
      <c r="BB56" s="11">
        <v>862149400</v>
      </c>
      <c r="BC56" s="11">
        <v>932348100</v>
      </c>
      <c r="BD56" s="11">
        <v>835540900</v>
      </c>
      <c r="BE56" s="11">
        <v>907037400</v>
      </c>
      <c r="BF56" s="11">
        <v>885423600</v>
      </c>
      <c r="BG56" s="11">
        <v>826186000</v>
      </c>
      <c r="BH56" s="11">
        <v>1092841100</v>
      </c>
      <c r="BI56" s="11">
        <v>1105375900</v>
      </c>
      <c r="BJ56" s="11">
        <v>1042015800</v>
      </c>
      <c r="BK56" s="11">
        <v>1060943200</v>
      </c>
      <c r="BL56" s="11">
        <v>1109065100</v>
      </c>
    </row>
    <row r="57" spans="1:64" s="10" customFormat="1" x14ac:dyDescent="0.25">
      <c r="A57" s="8">
        <v>71</v>
      </c>
      <c r="B57" s="8" t="s">
        <v>100</v>
      </c>
      <c r="C57" s="8" t="s">
        <v>101</v>
      </c>
      <c r="D57" s="8" t="s">
        <v>103</v>
      </c>
      <c r="E57" s="11">
        <v>1772956200</v>
      </c>
      <c r="F57" s="11">
        <v>1687895500</v>
      </c>
      <c r="G57" s="11">
        <v>1849967400</v>
      </c>
      <c r="H57" s="11">
        <v>1782074800</v>
      </c>
      <c r="I57" s="11">
        <v>1864055700</v>
      </c>
      <c r="J57" s="11">
        <v>1711468900</v>
      </c>
      <c r="K57" s="11">
        <v>1821456600</v>
      </c>
      <c r="L57" s="11">
        <v>1740976700</v>
      </c>
      <c r="M57" s="11">
        <v>1713064400</v>
      </c>
      <c r="N57" s="11">
        <v>1797353300</v>
      </c>
      <c r="O57" s="11">
        <v>1761152200</v>
      </c>
      <c r="P57" s="11">
        <v>1905002300</v>
      </c>
      <c r="Q57" s="11">
        <v>1835390100</v>
      </c>
      <c r="R57" s="11">
        <v>1760782800</v>
      </c>
      <c r="S57" s="11">
        <v>1994604800</v>
      </c>
      <c r="T57" s="11">
        <v>1913023200</v>
      </c>
      <c r="U57" s="11">
        <v>1906135100</v>
      </c>
      <c r="V57" s="11">
        <v>1902525300</v>
      </c>
      <c r="W57" s="11">
        <v>2046890600</v>
      </c>
      <c r="X57" s="11">
        <v>2055113900</v>
      </c>
      <c r="Y57" s="11">
        <v>2011274500</v>
      </c>
      <c r="Z57" s="11">
        <v>2175520500</v>
      </c>
      <c r="AA57" s="11">
        <v>2109429200</v>
      </c>
      <c r="AB57" s="11">
        <v>2274687400</v>
      </c>
      <c r="AC57" s="11">
        <v>2143339600</v>
      </c>
      <c r="AD57" s="11">
        <v>2016773500</v>
      </c>
      <c r="AE57" s="11">
        <v>2212686700</v>
      </c>
      <c r="AF57" s="11">
        <v>2047208700</v>
      </c>
      <c r="AG57" s="11">
        <v>2062395500</v>
      </c>
      <c r="AH57" s="11">
        <v>2008626900</v>
      </c>
      <c r="AI57" s="11">
        <v>2053881000</v>
      </c>
      <c r="AJ57" s="11">
        <v>2088896100</v>
      </c>
      <c r="AK57" s="11">
        <v>2022139200</v>
      </c>
      <c r="AL57" s="11">
        <v>2068814200</v>
      </c>
      <c r="AM57" s="11">
        <v>2049153900</v>
      </c>
      <c r="AN57" s="11">
        <v>2263443700</v>
      </c>
      <c r="AO57" s="11">
        <v>2131275300</v>
      </c>
      <c r="AP57" s="11">
        <v>2010671800</v>
      </c>
      <c r="AQ57" s="11">
        <v>2291416500</v>
      </c>
      <c r="AR57" s="11">
        <v>2133969500</v>
      </c>
      <c r="AS57" s="11">
        <v>2155441600</v>
      </c>
      <c r="AT57" s="11">
        <v>2133416200</v>
      </c>
      <c r="AU57" s="11">
        <v>2280698700</v>
      </c>
      <c r="AV57" s="11">
        <v>2342963300</v>
      </c>
      <c r="AW57" s="11">
        <v>2157705500</v>
      </c>
      <c r="AX57" s="11">
        <v>2213953800</v>
      </c>
      <c r="AY57" s="11">
        <v>2241458500</v>
      </c>
      <c r="AZ57" s="11">
        <v>2360279600</v>
      </c>
      <c r="BA57" s="11">
        <v>2277150900</v>
      </c>
      <c r="BB57" s="11">
        <v>2072462700</v>
      </c>
      <c r="BC57" s="11">
        <v>2401524900</v>
      </c>
      <c r="BD57" s="11">
        <v>2321275000</v>
      </c>
      <c r="BE57" s="11">
        <v>2302366300</v>
      </c>
      <c r="BF57" s="11">
        <v>2219262100</v>
      </c>
      <c r="BG57" s="11">
        <v>2311715300</v>
      </c>
      <c r="BH57" s="11">
        <v>2402966700</v>
      </c>
      <c r="BI57" s="11">
        <v>2287948700</v>
      </c>
      <c r="BJ57" s="11">
        <v>2312571100</v>
      </c>
      <c r="BK57" s="11">
        <v>2257300500</v>
      </c>
      <c r="BL57" s="11">
        <v>2401332900</v>
      </c>
    </row>
    <row r="58" spans="1:64" s="10" customFormat="1" x14ac:dyDescent="0.25">
      <c r="A58" s="8">
        <v>105</v>
      </c>
      <c r="B58" s="8" t="s">
        <v>163</v>
      </c>
      <c r="C58" s="8" t="s">
        <v>164</v>
      </c>
      <c r="D58" s="8" t="s">
        <v>103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88497500</v>
      </c>
    </row>
    <row r="59" spans="1:64" x14ac:dyDescent="0.25">
      <c r="A59" s="1">
        <v>79</v>
      </c>
      <c r="B59" s="3" t="s">
        <v>112</v>
      </c>
      <c r="C59" s="3" t="s">
        <v>113</v>
      </c>
      <c r="D59" s="3" t="s">
        <v>115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>
        <v>0</v>
      </c>
      <c r="AD59" s="4">
        <v>0</v>
      </c>
      <c r="AE59" s="4">
        <v>0</v>
      </c>
      <c r="AF59" s="4">
        <v>15697200</v>
      </c>
      <c r="AG59" s="4">
        <v>27052700</v>
      </c>
      <c r="AH59" s="4">
        <v>18442400</v>
      </c>
      <c r="AI59" s="4">
        <v>16223200</v>
      </c>
      <c r="AJ59" s="4">
        <v>57026900</v>
      </c>
      <c r="AK59" s="4">
        <v>104667700</v>
      </c>
      <c r="AL59" s="4">
        <v>40580900</v>
      </c>
      <c r="AM59" s="4">
        <v>61982200</v>
      </c>
      <c r="AN59" s="4">
        <v>34759400</v>
      </c>
      <c r="AO59" s="4">
        <v>28720700</v>
      </c>
      <c r="AP59" s="4">
        <v>30216900</v>
      </c>
      <c r="AQ59" s="4">
        <v>37846000</v>
      </c>
      <c r="AR59" s="4">
        <v>49364800</v>
      </c>
      <c r="AS59" s="4">
        <v>21857400</v>
      </c>
      <c r="AT59" s="4">
        <v>10378000</v>
      </c>
      <c r="AU59" s="4">
        <v>26562300</v>
      </c>
      <c r="AV59" s="4">
        <v>28713300</v>
      </c>
      <c r="AW59" s="4">
        <v>34329300</v>
      </c>
      <c r="AX59" s="4">
        <v>38872700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</row>
    <row r="60" spans="1:64" x14ac:dyDescent="0.25">
      <c r="A60" s="1">
        <v>72</v>
      </c>
      <c r="B60" s="3" t="s">
        <v>100</v>
      </c>
      <c r="C60" s="3" t="s">
        <v>101</v>
      </c>
      <c r="D60" s="3" t="s">
        <v>104</v>
      </c>
      <c r="E60" s="4">
        <v>1699570300</v>
      </c>
      <c r="F60" s="4">
        <v>1421498900</v>
      </c>
      <c r="G60" s="4">
        <v>1562382900</v>
      </c>
      <c r="H60" s="4">
        <v>1670860800</v>
      </c>
      <c r="I60" s="4">
        <v>1548039700</v>
      </c>
      <c r="J60" s="4">
        <v>1504541500</v>
      </c>
      <c r="K60" s="4">
        <v>1642930700</v>
      </c>
      <c r="L60" s="4">
        <v>1620292500</v>
      </c>
      <c r="M60" s="4">
        <v>1558720600</v>
      </c>
      <c r="N60" s="4">
        <v>1678558100</v>
      </c>
      <c r="O60" s="4">
        <v>1549003900</v>
      </c>
      <c r="P60" s="4">
        <v>1834434400</v>
      </c>
      <c r="Q60" s="4">
        <v>1944428200</v>
      </c>
      <c r="R60" s="4">
        <v>1617618800</v>
      </c>
      <c r="S60" s="4">
        <v>1646067500</v>
      </c>
      <c r="T60" s="4">
        <v>1793451050</v>
      </c>
      <c r="U60" s="4">
        <v>1757438100</v>
      </c>
      <c r="V60" s="4">
        <v>1756266100</v>
      </c>
      <c r="W60" s="4">
        <v>1909757000</v>
      </c>
      <c r="X60" s="4">
        <v>1834359900</v>
      </c>
      <c r="Y60" s="4">
        <v>1789266900</v>
      </c>
      <c r="Z60" s="4">
        <v>1977443200</v>
      </c>
      <c r="AA60" s="4">
        <v>1865365410</v>
      </c>
      <c r="AB60" s="4">
        <v>2047968600</v>
      </c>
      <c r="AC60" s="4">
        <v>2298101400</v>
      </c>
      <c r="AD60" s="4">
        <v>1999879700</v>
      </c>
      <c r="AE60" s="4">
        <v>2145944250</v>
      </c>
      <c r="AF60" s="4">
        <v>1939218100</v>
      </c>
      <c r="AG60" s="4">
        <v>1874052400</v>
      </c>
      <c r="AH60" s="4">
        <v>1809418500</v>
      </c>
      <c r="AI60" s="4">
        <v>1779378200</v>
      </c>
      <c r="AJ60" s="4">
        <v>2022578800</v>
      </c>
      <c r="AK60" s="4">
        <v>1857175400</v>
      </c>
      <c r="AL60" s="4">
        <v>1897802600</v>
      </c>
      <c r="AM60" s="4">
        <v>1891097500</v>
      </c>
      <c r="AN60" s="4">
        <v>2101467300</v>
      </c>
      <c r="AO60" s="4">
        <v>2206714000</v>
      </c>
      <c r="AP60" s="4">
        <v>1805802400</v>
      </c>
      <c r="AQ60" s="4">
        <v>2028825000</v>
      </c>
      <c r="AR60" s="4">
        <v>2107112800</v>
      </c>
      <c r="AS60" s="4">
        <v>2019528900</v>
      </c>
      <c r="AT60" s="4">
        <v>2088403500</v>
      </c>
      <c r="AU60" s="4">
        <v>2111623300</v>
      </c>
      <c r="AV60" s="4">
        <v>2051477200</v>
      </c>
      <c r="AW60" s="4">
        <v>1970322700</v>
      </c>
      <c r="AX60" s="4">
        <v>2051505100</v>
      </c>
      <c r="AY60" s="4">
        <v>2025524700</v>
      </c>
      <c r="AZ60" s="4">
        <v>2285875000</v>
      </c>
      <c r="BA60" s="4">
        <v>2399195600</v>
      </c>
      <c r="BB60" s="4">
        <v>1967943500</v>
      </c>
      <c r="BC60" s="4">
        <v>2289839300</v>
      </c>
      <c r="BD60" s="4">
        <v>2180232600</v>
      </c>
      <c r="BE60" s="4">
        <v>2101520600</v>
      </c>
      <c r="BF60" s="4">
        <v>2114718600</v>
      </c>
      <c r="BG60" s="4">
        <v>2214903000</v>
      </c>
      <c r="BH60" s="4">
        <v>2240146400</v>
      </c>
      <c r="BI60" s="4">
        <v>2134612800</v>
      </c>
      <c r="BJ60" s="4">
        <v>2262376350</v>
      </c>
      <c r="BK60" s="4">
        <v>2157495500</v>
      </c>
      <c r="BL60" s="4">
        <v>2430658600</v>
      </c>
    </row>
    <row r="61" spans="1:64" x14ac:dyDescent="0.25">
      <c r="A61" s="1">
        <v>65</v>
      </c>
      <c r="B61" s="3" t="s">
        <v>88</v>
      </c>
      <c r="C61" s="3" t="s">
        <v>89</v>
      </c>
      <c r="D61" s="3" t="s">
        <v>91</v>
      </c>
      <c r="E61" s="4">
        <v>4921454000</v>
      </c>
      <c r="F61" s="4">
        <v>4156715700</v>
      </c>
      <c r="G61" s="4">
        <v>4378570100</v>
      </c>
      <c r="H61" s="4">
        <v>4655506700</v>
      </c>
      <c r="I61" s="4">
        <v>4560191300</v>
      </c>
      <c r="J61" s="4">
        <v>4692615900</v>
      </c>
      <c r="K61" s="4">
        <v>5034156500</v>
      </c>
      <c r="L61" s="4">
        <v>4790299700</v>
      </c>
      <c r="M61" s="4">
        <v>4513149900</v>
      </c>
      <c r="N61" s="4">
        <v>4897761100</v>
      </c>
      <c r="O61" s="4">
        <v>5045733600</v>
      </c>
      <c r="P61" s="4">
        <v>5337355700</v>
      </c>
      <c r="Q61" s="4">
        <v>5216899700</v>
      </c>
      <c r="R61" s="4">
        <v>4360585750</v>
      </c>
      <c r="S61" s="4">
        <v>4722687350</v>
      </c>
      <c r="T61" s="4">
        <v>4922285700</v>
      </c>
      <c r="U61" s="4">
        <v>4916627700</v>
      </c>
      <c r="V61" s="4">
        <v>5122557600</v>
      </c>
      <c r="W61" s="4">
        <v>5313328500</v>
      </c>
      <c r="X61" s="4">
        <v>5058907500</v>
      </c>
      <c r="Y61" s="4">
        <v>4882282000</v>
      </c>
      <c r="Z61" s="4">
        <v>5255728100</v>
      </c>
      <c r="AA61" s="4">
        <v>4952491700</v>
      </c>
      <c r="AB61" s="4">
        <v>5818570800</v>
      </c>
      <c r="AC61" s="4">
        <v>5788331300</v>
      </c>
      <c r="AD61" s="4">
        <v>4718780100</v>
      </c>
      <c r="AE61" s="4">
        <v>5518160600</v>
      </c>
      <c r="AF61" s="4">
        <v>5067527150</v>
      </c>
      <c r="AG61" s="4">
        <v>5234249600</v>
      </c>
      <c r="AH61" s="4">
        <v>5019710350</v>
      </c>
      <c r="AI61" s="4">
        <v>5110514700</v>
      </c>
      <c r="AJ61" s="4">
        <v>5771383400</v>
      </c>
      <c r="AK61" s="4">
        <v>5228181300</v>
      </c>
      <c r="AL61" s="4">
        <v>5575126150</v>
      </c>
      <c r="AM61" s="4">
        <v>5416282000</v>
      </c>
      <c r="AN61" s="4">
        <v>6169367700</v>
      </c>
      <c r="AO61" s="4">
        <v>6133805000</v>
      </c>
      <c r="AP61" s="4">
        <v>4966076000</v>
      </c>
      <c r="AQ61" s="4">
        <v>5415023100</v>
      </c>
      <c r="AR61" s="4">
        <v>5666662100</v>
      </c>
      <c r="AS61" s="4">
        <v>5109976400</v>
      </c>
      <c r="AT61" s="4">
        <v>5861398500</v>
      </c>
      <c r="AU61" s="4">
        <v>6082154100</v>
      </c>
      <c r="AV61" s="4">
        <v>5838842500</v>
      </c>
      <c r="AW61" s="4">
        <v>5614300000</v>
      </c>
      <c r="AX61" s="4">
        <v>5949070600</v>
      </c>
      <c r="AY61" s="4">
        <v>5694743050</v>
      </c>
      <c r="AZ61" s="4">
        <v>6576546900</v>
      </c>
      <c r="BA61" s="4">
        <v>6546187400</v>
      </c>
      <c r="BB61" s="4">
        <v>5220356200</v>
      </c>
      <c r="BC61" s="4">
        <v>5925743250</v>
      </c>
      <c r="BD61" s="4">
        <v>5584007500</v>
      </c>
      <c r="BE61" s="4">
        <v>5646513900</v>
      </c>
      <c r="BF61" s="4">
        <v>5936835600</v>
      </c>
      <c r="BG61" s="4">
        <v>6139896500</v>
      </c>
      <c r="BH61" s="4">
        <v>6016669900</v>
      </c>
      <c r="BI61" s="4">
        <v>5633204800</v>
      </c>
      <c r="BJ61" s="4">
        <v>6245807200</v>
      </c>
      <c r="BK61" s="4">
        <v>6017040700</v>
      </c>
      <c r="BL61" s="4">
        <v>6624293800</v>
      </c>
    </row>
    <row r="62" spans="1:64" x14ac:dyDescent="0.25">
      <c r="A62" s="1">
        <v>21</v>
      </c>
      <c r="B62" s="3" t="s">
        <v>31</v>
      </c>
      <c r="C62" s="3" t="s">
        <v>32</v>
      </c>
      <c r="D62" s="3" t="s">
        <v>34</v>
      </c>
      <c r="E62" s="4">
        <v>6904161700</v>
      </c>
      <c r="F62" s="4">
        <v>5802472600</v>
      </c>
      <c r="G62" s="4">
        <v>6407222300</v>
      </c>
      <c r="H62" s="4">
        <v>6361720200</v>
      </c>
      <c r="I62" s="4">
        <v>6372569400</v>
      </c>
      <c r="J62" s="4">
        <v>6510027400</v>
      </c>
      <c r="K62" s="4">
        <v>6635720300</v>
      </c>
      <c r="L62" s="4">
        <v>6819889400</v>
      </c>
      <c r="M62" s="4">
        <v>6361126800</v>
      </c>
      <c r="N62" s="4">
        <v>6712172900</v>
      </c>
      <c r="O62" s="4">
        <v>6543371700</v>
      </c>
      <c r="P62" s="4">
        <v>7506808000</v>
      </c>
      <c r="Q62" s="4">
        <v>7789992700</v>
      </c>
      <c r="R62" s="4">
        <v>6366331300</v>
      </c>
      <c r="S62" s="4">
        <v>6881570500</v>
      </c>
      <c r="T62" s="4">
        <v>6723195200</v>
      </c>
      <c r="U62" s="4">
        <v>7091551600</v>
      </c>
      <c r="V62" s="4">
        <v>7411617800</v>
      </c>
      <c r="W62" s="4">
        <v>7505532400</v>
      </c>
      <c r="X62" s="4">
        <v>7633650700</v>
      </c>
      <c r="Y62" s="4">
        <v>7196661300</v>
      </c>
      <c r="Z62" s="4">
        <v>7581641800</v>
      </c>
      <c r="AA62" s="4">
        <v>7503450000</v>
      </c>
      <c r="AB62" s="4">
        <v>8571445500</v>
      </c>
      <c r="AC62" s="4">
        <v>9101842100</v>
      </c>
      <c r="AD62" s="4">
        <v>7656559900</v>
      </c>
      <c r="AE62" s="4">
        <v>8433963600</v>
      </c>
      <c r="AF62" s="4">
        <v>7765660000</v>
      </c>
      <c r="AG62" s="4">
        <v>8359895300</v>
      </c>
      <c r="AH62" s="4">
        <v>8125945900</v>
      </c>
      <c r="AI62" s="4">
        <v>7880164700</v>
      </c>
      <c r="AJ62" s="4">
        <v>9066145900</v>
      </c>
      <c r="AK62" s="4">
        <v>8251193800</v>
      </c>
      <c r="AL62" s="4">
        <v>7678974400</v>
      </c>
      <c r="AM62" s="4">
        <v>7253507600</v>
      </c>
      <c r="AN62" s="4">
        <v>8306219100</v>
      </c>
      <c r="AO62" s="4">
        <v>3646261000</v>
      </c>
      <c r="AP62" s="4">
        <v>8013834600</v>
      </c>
      <c r="AQ62" s="4">
        <v>8766227400</v>
      </c>
      <c r="AR62" s="4">
        <v>8827077200</v>
      </c>
      <c r="AS62" s="4">
        <v>8992837500</v>
      </c>
      <c r="AT62" s="4">
        <v>9099981800</v>
      </c>
      <c r="AU62" s="4">
        <v>9669897200</v>
      </c>
      <c r="AV62" s="4">
        <v>9614897200</v>
      </c>
      <c r="AW62" s="4">
        <v>8889648000</v>
      </c>
      <c r="AX62" s="4">
        <v>9300313600</v>
      </c>
      <c r="AY62" s="4">
        <v>9382159500</v>
      </c>
      <c r="AZ62" s="4">
        <v>10415413400</v>
      </c>
      <c r="BA62" s="4">
        <v>10725265200</v>
      </c>
      <c r="BB62" s="4">
        <v>9008453200</v>
      </c>
      <c r="BC62" s="4">
        <v>10061257800</v>
      </c>
      <c r="BD62" s="4">
        <v>9608647200</v>
      </c>
      <c r="BE62" s="4">
        <v>9756123700</v>
      </c>
      <c r="BF62" s="4">
        <v>10224871200</v>
      </c>
      <c r="BG62" s="4">
        <v>10648860000</v>
      </c>
      <c r="BH62" s="4">
        <v>10752452200</v>
      </c>
      <c r="BI62" s="4">
        <v>10022595700</v>
      </c>
      <c r="BJ62" s="4">
        <v>10505361800</v>
      </c>
      <c r="BK62" s="4">
        <v>10413150300</v>
      </c>
      <c r="BL62" s="4">
        <v>11713169300</v>
      </c>
    </row>
    <row r="63" spans="1:64" x14ac:dyDescent="0.25">
      <c r="A63" s="1">
        <v>111</v>
      </c>
      <c r="B63" s="3" t="s">
        <v>170</v>
      </c>
      <c r="C63" s="3" t="s">
        <v>171</v>
      </c>
      <c r="D63" s="3" t="s">
        <v>174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</row>
    <row r="64" spans="1:64" x14ac:dyDescent="0.25">
      <c r="A64" s="1">
        <v>124</v>
      </c>
      <c r="B64" s="3" t="s">
        <v>185</v>
      </c>
      <c r="C64" s="3" t="s">
        <v>186</v>
      </c>
      <c r="D64" s="3" t="s">
        <v>188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365594400</v>
      </c>
      <c r="Y64" s="4">
        <v>1049928350</v>
      </c>
      <c r="Z64" s="4">
        <v>1190627400</v>
      </c>
      <c r="AA64" s="4">
        <v>1128923200</v>
      </c>
      <c r="AB64" s="4">
        <v>1372678100</v>
      </c>
      <c r="AC64" s="4">
        <v>1484741050</v>
      </c>
      <c r="AD64" s="4">
        <v>1101970050</v>
      </c>
      <c r="AE64" s="4">
        <v>1308953600</v>
      </c>
      <c r="AF64" s="4">
        <v>1150965850</v>
      </c>
      <c r="AG64" s="4">
        <v>1186450800</v>
      </c>
      <c r="AH64" s="4">
        <v>1225321900</v>
      </c>
      <c r="AI64" s="4">
        <v>1204650800</v>
      </c>
      <c r="AJ64" s="4">
        <v>1330612400</v>
      </c>
      <c r="AK64" s="4">
        <v>1271621850</v>
      </c>
      <c r="AL64" s="4">
        <v>1767606400</v>
      </c>
      <c r="AM64" s="4">
        <v>1705278950</v>
      </c>
      <c r="AN64" s="4">
        <v>2025503500</v>
      </c>
      <c r="AO64" s="4">
        <v>2233237650</v>
      </c>
      <c r="AP64" s="4">
        <v>1612955300</v>
      </c>
      <c r="AQ64" s="4">
        <v>1751895600</v>
      </c>
      <c r="AR64" s="4">
        <v>1847840600</v>
      </c>
      <c r="AS64" s="4">
        <v>1689734200</v>
      </c>
      <c r="AT64" s="4">
        <v>1891191500</v>
      </c>
      <c r="AU64" s="4">
        <v>1888030900</v>
      </c>
      <c r="AV64" s="4">
        <v>1838363800</v>
      </c>
      <c r="AW64" s="4">
        <v>1697821600</v>
      </c>
      <c r="AX64" s="4">
        <v>1860381200</v>
      </c>
      <c r="AY64" s="4">
        <v>1808280500</v>
      </c>
      <c r="AZ64" s="4">
        <v>2137373250</v>
      </c>
      <c r="BA64" s="4">
        <v>2357807250</v>
      </c>
      <c r="BB64" s="4">
        <v>1701811850</v>
      </c>
      <c r="BC64" s="4">
        <v>2030168750</v>
      </c>
      <c r="BD64" s="4">
        <v>1825182800</v>
      </c>
      <c r="BE64" s="4">
        <v>1865132600</v>
      </c>
      <c r="BF64" s="4">
        <v>1983168900</v>
      </c>
      <c r="BG64" s="4">
        <v>2045994900</v>
      </c>
      <c r="BH64" s="4">
        <v>1967567350</v>
      </c>
      <c r="BI64" s="4">
        <v>1821475500</v>
      </c>
      <c r="BJ64" s="4">
        <v>1965847900</v>
      </c>
      <c r="BK64" s="4">
        <v>1834830500</v>
      </c>
      <c r="BL64" s="4">
        <v>2083013100</v>
      </c>
    </row>
    <row r="65" spans="1:64" s="10" customFormat="1" x14ac:dyDescent="0.25">
      <c r="A65" s="8">
        <v>26</v>
      </c>
      <c r="B65" s="8" t="s">
        <v>41</v>
      </c>
      <c r="C65" s="8" t="s">
        <v>42</v>
      </c>
      <c r="D65" s="8" t="s">
        <v>43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702761100</v>
      </c>
      <c r="W65" s="11">
        <v>999026200</v>
      </c>
      <c r="X65" s="11">
        <v>1061613700</v>
      </c>
      <c r="Y65" s="11">
        <v>983097200</v>
      </c>
      <c r="Z65" s="11">
        <v>1084023500</v>
      </c>
      <c r="AA65" s="11">
        <v>1032011700</v>
      </c>
      <c r="AB65" s="11">
        <v>1159186250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</row>
    <row r="66" spans="1:64" s="10" customFormat="1" x14ac:dyDescent="0.25">
      <c r="A66" s="8">
        <v>130</v>
      </c>
      <c r="B66" s="8" t="s">
        <v>195</v>
      </c>
      <c r="C66" s="8" t="s">
        <v>196</v>
      </c>
      <c r="D66" s="8" t="s">
        <v>43</v>
      </c>
      <c r="E66" s="11">
        <v>1003809100</v>
      </c>
      <c r="F66" s="11">
        <v>769812400</v>
      </c>
      <c r="G66" s="11">
        <v>831463600</v>
      </c>
      <c r="H66" s="11">
        <v>850185100</v>
      </c>
      <c r="I66" s="11">
        <v>829444000</v>
      </c>
      <c r="J66" s="11">
        <v>821394500</v>
      </c>
      <c r="K66" s="11">
        <v>897195900</v>
      </c>
      <c r="L66" s="11">
        <v>932613800</v>
      </c>
      <c r="M66" s="11">
        <v>843314000</v>
      </c>
      <c r="N66" s="11">
        <v>882817300</v>
      </c>
      <c r="O66" s="11">
        <v>834317600</v>
      </c>
      <c r="P66" s="11">
        <v>976308400</v>
      </c>
      <c r="Q66" s="11">
        <v>1129468950</v>
      </c>
      <c r="R66" s="11">
        <v>803200700</v>
      </c>
      <c r="S66" s="11">
        <v>888743200</v>
      </c>
      <c r="T66" s="11">
        <v>884889100</v>
      </c>
      <c r="U66" s="11">
        <v>884576900</v>
      </c>
      <c r="V66" s="11">
        <v>226388300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1342646550</v>
      </c>
      <c r="AD66" s="11">
        <v>1042264450</v>
      </c>
      <c r="AE66" s="11">
        <v>1115257250</v>
      </c>
      <c r="AF66" s="11">
        <v>1002763350</v>
      </c>
      <c r="AG66" s="11">
        <v>1043285900</v>
      </c>
      <c r="AH66" s="11">
        <v>1057758950</v>
      </c>
      <c r="AI66" s="11">
        <v>1056668200</v>
      </c>
      <c r="AJ66" s="11">
        <v>1162074000</v>
      </c>
      <c r="AK66" s="11">
        <v>1089657050</v>
      </c>
      <c r="AL66" s="11">
        <v>1104296150</v>
      </c>
      <c r="AM66" s="11">
        <v>1097987650</v>
      </c>
      <c r="AN66" s="11">
        <v>1244453450</v>
      </c>
      <c r="AO66" s="11">
        <v>1368357950</v>
      </c>
      <c r="AP66" s="11">
        <v>1106591000</v>
      </c>
      <c r="AQ66" s="11">
        <v>1168054300</v>
      </c>
      <c r="AR66" s="11">
        <v>1144189450</v>
      </c>
      <c r="AS66" s="11">
        <v>1103495950</v>
      </c>
      <c r="AT66" s="11">
        <v>1074335350</v>
      </c>
      <c r="AU66" s="11">
        <v>1189345400</v>
      </c>
      <c r="AV66" s="11">
        <v>1251547550</v>
      </c>
      <c r="AW66" s="11">
        <v>1123515500</v>
      </c>
      <c r="AX66" s="11">
        <v>1169567100</v>
      </c>
      <c r="AY66" s="11">
        <v>1165313050</v>
      </c>
      <c r="AZ66" s="11">
        <v>1316415250</v>
      </c>
      <c r="BA66" s="11">
        <v>1402580750</v>
      </c>
      <c r="BB66" s="11">
        <v>1043677350</v>
      </c>
      <c r="BC66" s="11">
        <v>1193923050</v>
      </c>
      <c r="BD66" s="11">
        <v>1109479700</v>
      </c>
      <c r="BE66" s="11">
        <v>1090089250</v>
      </c>
      <c r="BF66" s="11">
        <v>1082694800</v>
      </c>
      <c r="BG66" s="11">
        <v>1187380700</v>
      </c>
      <c r="BH66" s="11">
        <v>1164322650</v>
      </c>
      <c r="BI66" s="11">
        <v>1115173750</v>
      </c>
      <c r="BJ66" s="11">
        <v>1168892600</v>
      </c>
      <c r="BK66" s="11">
        <v>1144437600</v>
      </c>
      <c r="BL66" s="11">
        <v>1324435850</v>
      </c>
    </row>
    <row r="67" spans="1:64" x14ac:dyDescent="0.25">
      <c r="A67" s="1">
        <v>106</v>
      </c>
      <c r="B67" s="3" t="s">
        <v>163</v>
      </c>
      <c r="C67" s="3" t="s">
        <v>164</v>
      </c>
      <c r="D67" s="3" t="s">
        <v>165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</row>
    <row r="68" spans="1:64" x14ac:dyDescent="0.25">
      <c r="A68" s="1">
        <v>117</v>
      </c>
      <c r="B68" s="3" t="s">
        <v>177</v>
      </c>
      <c r="C68" s="3" t="s">
        <v>178</v>
      </c>
      <c r="D68" s="3" t="s">
        <v>180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167360000</v>
      </c>
      <c r="AB68" s="4">
        <v>1441159900</v>
      </c>
      <c r="AC68" s="4">
        <v>1597246800</v>
      </c>
      <c r="AD68" s="4">
        <v>1190170100</v>
      </c>
      <c r="AE68" s="4">
        <v>1346262000</v>
      </c>
      <c r="AF68" s="4">
        <v>1199996750</v>
      </c>
      <c r="AG68" s="4">
        <v>1293357550</v>
      </c>
      <c r="AH68" s="4">
        <v>2143858600</v>
      </c>
      <c r="AI68" s="4">
        <v>1964287700</v>
      </c>
      <c r="AJ68" s="4">
        <v>2610716100</v>
      </c>
      <c r="AK68" s="4">
        <v>2302741200</v>
      </c>
      <c r="AL68" s="4">
        <v>2400146900</v>
      </c>
      <c r="AM68" s="4">
        <v>2314701800</v>
      </c>
      <c r="AN68" s="4">
        <v>2561059200</v>
      </c>
      <c r="AO68" s="4">
        <v>2787817500</v>
      </c>
      <c r="AP68" s="4">
        <v>2177677400</v>
      </c>
      <c r="AQ68" s="4">
        <v>2344824200</v>
      </c>
      <c r="AR68" s="4">
        <v>2442400700</v>
      </c>
      <c r="AS68" s="4">
        <v>2278668100</v>
      </c>
      <c r="AT68" s="4">
        <v>2352045100</v>
      </c>
      <c r="AU68" s="4">
        <v>2325983100</v>
      </c>
      <c r="AV68" s="4">
        <v>2402708600</v>
      </c>
      <c r="AW68" s="4">
        <v>2278156300</v>
      </c>
      <c r="AX68" s="4">
        <v>2437576500</v>
      </c>
      <c r="AY68" s="4">
        <v>2324861000</v>
      </c>
      <c r="AZ68" s="4">
        <v>2749320100</v>
      </c>
      <c r="BA68" s="4">
        <v>3132844000</v>
      </c>
      <c r="BB68" s="4">
        <v>2334329200</v>
      </c>
      <c r="BC68" s="4">
        <v>2608384500</v>
      </c>
      <c r="BD68" s="4">
        <v>2530859100</v>
      </c>
      <c r="BE68" s="4">
        <v>1810370900</v>
      </c>
      <c r="BF68" s="4">
        <v>909735300</v>
      </c>
      <c r="BG68" s="4">
        <v>2310159500</v>
      </c>
      <c r="BH68" s="4">
        <v>2550116400</v>
      </c>
      <c r="BI68" s="4">
        <v>2264312800</v>
      </c>
      <c r="BJ68" s="4">
        <v>2489442700</v>
      </c>
      <c r="BK68" s="4">
        <v>2494361300</v>
      </c>
      <c r="BL68" s="4">
        <v>2929608400</v>
      </c>
    </row>
    <row r="69" spans="1:64" x14ac:dyDescent="0.25">
      <c r="A69" s="1">
        <v>141</v>
      </c>
      <c r="B69" s="3" t="s">
        <v>208</v>
      </c>
      <c r="C69" s="3" t="s">
        <v>209</v>
      </c>
      <c r="D69" s="3" t="s">
        <v>210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200947200</v>
      </c>
      <c r="Q69" s="4">
        <v>511473400</v>
      </c>
      <c r="R69" s="4">
        <v>455276500</v>
      </c>
      <c r="S69" s="4">
        <v>527000200</v>
      </c>
      <c r="T69" s="4">
        <v>497222450</v>
      </c>
      <c r="U69" s="4">
        <v>566356000</v>
      </c>
      <c r="V69" s="4">
        <v>506501350</v>
      </c>
      <c r="W69" s="4">
        <v>535423850</v>
      </c>
      <c r="X69" s="4">
        <v>571611600</v>
      </c>
      <c r="Y69" s="4">
        <v>526345450</v>
      </c>
      <c r="Z69" s="4">
        <v>559188900</v>
      </c>
      <c r="AA69" s="4">
        <v>527883450</v>
      </c>
      <c r="AB69" s="4">
        <v>558582600</v>
      </c>
      <c r="AC69" s="4">
        <v>585372850</v>
      </c>
      <c r="AD69" s="4">
        <v>551414550</v>
      </c>
      <c r="AE69" s="4">
        <v>623768200</v>
      </c>
      <c r="AF69" s="4">
        <v>568770850</v>
      </c>
      <c r="AG69" s="4">
        <v>602398300</v>
      </c>
      <c r="AH69" s="4">
        <v>592024100</v>
      </c>
      <c r="AI69" s="4">
        <v>566115900</v>
      </c>
      <c r="AJ69" s="4">
        <v>610052800</v>
      </c>
      <c r="AK69" s="4">
        <v>556740250</v>
      </c>
      <c r="AL69" s="4">
        <v>599373300</v>
      </c>
      <c r="AM69" s="4">
        <v>589651000</v>
      </c>
      <c r="AN69" s="4">
        <v>603612800</v>
      </c>
      <c r="AO69" s="4">
        <v>663489650</v>
      </c>
      <c r="AP69" s="4">
        <v>614347750</v>
      </c>
      <c r="AQ69" s="4">
        <v>666410850</v>
      </c>
      <c r="AR69" s="4">
        <v>629702100</v>
      </c>
      <c r="AS69" s="4">
        <v>659312050</v>
      </c>
      <c r="AT69" s="4">
        <v>598766000</v>
      </c>
      <c r="AU69" s="4">
        <v>629118100</v>
      </c>
      <c r="AV69" s="4">
        <v>651228700</v>
      </c>
      <c r="AW69" s="4">
        <v>608856800</v>
      </c>
      <c r="AX69" s="4">
        <v>638840900</v>
      </c>
      <c r="AY69" s="4">
        <v>607546350</v>
      </c>
      <c r="AZ69" s="4">
        <v>601738700</v>
      </c>
      <c r="BA69" s="4">
        <v>642216600</v>
      </c>
      <c r="BB69" s="4">
        <v>585276200</v>
      </c>
      <c r="BC69" s="4">
        <v>625390250</v>
      </c>
      <c r="BD69" s="4">
        <v>567567750</v>
      </c>
      <c r="BE69" s="4">
        <v>542726050</v>
      </c>
      <c r="BF69" s="4">
        <v>499978000</v>
      </c>
      <c r="BG69" s="4">
        <v>497445650</v>
      </c>
      <c r="BH69" s="4">
        <v>515975000</v>
      </c>
      <c r="BI69" s="4">
        <v>525957000</v>
      </c>
      <c r="BJ69" s="4">
        <v>554701550</v>
      </c>
      <c r="BK69" s="4">
        <v>572372850</v>
      </c>
      <c r="BL69" s="4">
        <v>622371100</v>
      </c>
    </row>
    <row r="70" spans="1:64" x14ac:dyDescent="0.25">
      <c r="A70" s="1">
        <v>55</v>
      </c>
      <c r="B70" s="3" t="s">
        <v>84</v>
      </c>
      <c r="C70" s="3" t="s">
        <v>85</v>
      </c>
      <c r="D70" s="3" t="s">
        <v>86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>
        <v>0</v>
      </c>
      <c r="AD70" s="4">
        <v>0</v>
      </c>
      <c r="AE70" s="4">
        <v>0</v>
      </c>
      <c r="AF70" s="4">
        <v>434229600</v>
      </c>
      <c r="AG70" s="4">
        <v>996268400</v>
      </c>
      <c r="AH70" s="4">
        <v>958425600</v>
      </c>
      <c r="AI70" s="4">
        <f t="shared" ref="AI70:BL70" si="0">+AI71+AI72</f>
        <v>2065560500</v>
      </c>
      <c r="AJ70" s="4">
        <f t="shared" si="0"/>
        <v>2227341500</v>
      </c>
      <c r="AK70" s="4">
        <f t="shared" si="0"/>
        <v>2126744600</v>
      </c>
      <c r="AL70" s="4">
        <f t="shared" si="0"/>
        <v>2180218900</v>
      </c>
      <c r="AM70" s="4">
        <f t="shared" si="0"/>
        <v>2171275200</v>
      </c>
      <c r="AN70" s="4">
        <f t="shared" si="0"/>
        <v>2425108100</v>
      </c>
      <c r="AO70" s="4">
        <f t="shared" si="0"/>
        <v>2717115800</v>
      </c>
      <c r="AP70" s="4">
        <f t="shared" si="0"/>
        <v>2100582200</v>
      </c>
      <c r="AQ70" s="4">
        <f t="shared" si="0"/>
        <v>2304371500</v>
      </c>
      <c r="AR70" s="4">
        <f t="shared" si="0"/>
        <v>2361947000</v>
      </c>
      <c r="AS70" s="4">
        <f t="shared" si="0"/>
        <v>2219154300</v>
      </c>
      <c r="AT70" s="4">
        <f t="shared" si="0"/>
        <v>2286764700</v>
      </c>
      <c r="AU70" s="4">
        <f t="shared" si="0"/>
        <v>2273813700</v>
      </c>
      <c r="AV70" s="4">
        <f t="shared" si="0"/>
        <v>2372589300</v>
      </c>
      <c r="AW70" s="4">
        <f t="shared" si="0"/>
        <v>2282550200</v>
      </c>
      <c r="AX70" s="4">
        <f t="shared" si="0"/>
        <v>1572666900</v>
      </c>
      <c r="AY70" s="4">
        <f t="shared" si="0"/>
        <v>0</v>
      </c>
      <c r="AZ70" s="4">
        <f t="shared" si="0"/>
        <v>0</v>
      </c>
      <c r="BA70" s="4">
        <f t="shared" si="0"/>
        <v>0</v>
      </c>
      <c r="BB70" s="4">
        <f t="shared" si="0"/>
        <v>0</v>
      </c>
      <c r="BC70" s="4">
        <f t="shared" si="0"/>
        <v>0</v>
      </c>
      <c r="BD70" s="4">
        <f t="shared" si="0"/>
        <v>0</v>
      </c>
      <c r="BE70" s="4">
        <f t="shared" si="0"/>
        <v>0</v>
      </c>
      <c r="BF70" s="4">
        <f t="shared" si="0"/>
        <v>0</v>
      </c>
      <c r="BG70" s="4">
        <f t="shared" si="0"/>
        <v>0</v>
      </c>
      <c r="BH70" s="4">
        <f t="shared" si="0"/>
        <v>0</v>
      </c>
      <c r="BI70" s="4">
        <f t="shared" si="0"/>
        <v>0</v>
      </c>
      <c r="BJ70" s="4">
        <f t="shared" si="0"/>
        <v>0</v>
      </c>
      <c r="BK70" s="4">
        <f t="shared" si="0"/>
        <v>0</v>
      </c>
      <c r="BL70" s="4">
        <f t="shared" si="0"/>
        <v>0</v>
      </c>
    </row>
    <row r="71" spans="1:64" x14ac:dyDescent="0.25">
      <c r="A71" s="1">
        <v>80</v>
      </c>
      <c r="B71" s="3" t="s">
        <v>112</v>
      </c>
      <c r="C71" s="3" t="s">
        <v>113</v>
      </c>
      <c r="D71" s="3" t="s">
        <v>116</v>
      </c>
      <c r="E71" s="4">
        <v>2199249300</v>
      </c>
      <c r="F71" s="4">
        <v>1716343400</v>
      </c>
      <c r="G71" s="4">
        <v>1924344600</v>
      </c>
      <c r="H71" s="4">
        <v>2081338300</v>
      </c>
      <c r="I71" s="4">
        <v>1446021600</v>
      </c>
      <c r="J71" s="4">
        <v>2051176300</v>
      </c>
      <c r="K71" s="4">
        <v>2352190100</v>
      </c>
      <c r="L71" s="4">
        <v>2118026600</v>
      </c>
      <c r="M71" s="4">
        <v>1901090300</v>
      </c>
      <c r="N71" s="4">
        <v>2063082900</v>
      </c>
      <c r="O71" s="4">
        <v>1856883800</v>
      </c>
      <c r="P71" s="4">
        <v>2004361400</v>
      </c>
      <c r="Q71" s="4">
        <v>2179352900</v>
      </c>
      <c r="R71" s="4">
        <v>1945711800</v>
      </c>
      <c r="S71" s="4">
        <v>2151899700</v>
      </c>
      <c r="T71" s="4">
        <v>2009228000</v>
      </c>
      <c r="U71" s="4">
        <v>2018379900</v>
      </c>
      <c r="V71" s="4">
        <v>1994499600</v>
      </c>
      <c r="W71" s="4">
        <v>2396531600</v>
      </c>
      <c r="X71" s="4">
        <v>2356260000</v>
      </c>
      <c r="Y71" s="4">
        <v>2338065900</v>
      </c>
      <c r="Z71" s="4">
        <v>2470780600</v>
      </c>
      <c r="AA71" s="4">
        <v>2306295800</v>
      </c>
      <c r="AB71" s="4">
        <v>2465514400</v>
      </c>
      <c r="AC71" s="4">
        <v>2695568200</v>
      </c>
      <c r="AD71" s="4">
        <v>2265419600</v>
      </c>
      <c r="AE71" s="4">
        <v>2363856300</v>
      </c>
      <c r="AF71" s="4">
        <v>2261329600</v>
      </c>
      <c r="AG71" s="4">
        <v>2026185600</v>
      </c>
      <c r="AH71" s="4">
        <v>2199403900</v>
      </c>
      <c r="AI71" s="4">
        <v>2065560500</v>
      </c>
      <c r="AJ71" s="4">
        <v>2227341500</v>
      </c>
      <c r="AK71" s="4">
        <v>2126744600</v>
      </c>
      <c r="AL71" s="4">
        <v>2180218900</v>
      </c>
      <c r="AM71" s="4">
        <v>2171275200</v>
      </c>
      <c r="AN71" s="4">
        <v>2425108100</v>
      </c>
      <c r="AO71" s="4">
        <v>2717115800</v>
      </c>
      <c r="AP71" s="4">
        <v>2100582200</v>
      </c>
      <c r="AQ71" s="4">
        <v>2304371500</v>
      </c>
      <c r="AR71" s="4">
        <v>2361947000</v>
      </c>
      <c r="AS71" s="4">
        <v>2219154300</v>
      </c>
      <c r="AT71" s="4">
        <v>2286764700</v>
      </c>
      <c r="AU71" s="4">
        <v>2273813700</v>
      </c>
      <c r="AV71" s="4">
        <v>2372589300</v>
      </c>
      <c r="AW71" s="4">
        <v>2282550200</v>
      </c>
      <c r="AX71" s="4">
        <v>1572666900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</row>
    <row r="72" spans="1:64" s="10" customFormat="1" x14ac:dyDescent="0.25">
      <c r="A72" s="8">
        <v>27</v>
      </c>
      <c r="B72" s="8" t="s">
        <v>41</v>
      </c>
      <c r="C72" s="8" t="s">
        <v>42</v>
      </c>
      <c r="D72" s="8" t="s">
        <v>44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1460158400</v>
      </c>
      <c r="W72" s="11">
        <v>2317067150</v>
      </c>
      <c r="X72" s="11">
        <v>2483845900</v>
      </c>
      <c r="Y72" s="11">
        <v>2389192450</v>
      </c>
      <c r="Z72" s="11">
        <v>2450910500</v>
      </c>
      <c r="AA72" s="11">
        <v>2137055850</v>
      </c>
      <c r="AB72" s="11">
        <v>2260245250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</row>
    <row r="73" spans="1:64" s="10" customFormat="1" x14ac:dyDescent="0.25">
      <c r="A73" s="8">
        <v>131</v>
      </c>
      <c r="B73" s="8" t="s">
        <v>195</v>
      </c>
      <c r="C73" s="8" t="s">
        <v>196</v>
      </c>
      <c r="D73" s="8" t="s">
        <v>44</v>
      </c>
      <c r="E73" s="11">
        <v>2423276700</v>
      </c>
      <c r="F73" s="11">
        <v>2017704800</v>
      </c>
      <c r="G73" s="11">
        <v>2469552600</v>
      </c>
      <c r="H73" s="11">
        <v>2327957500</v>
      </c>
      <c r="I73" s="11">
        <v>2435934600</v>
      </c>
      <c r="J73" s="11">
        <v>2211482100</v>
      </c>
      <c r="K73" s="11">
        <v>2235395100</v>
      </c>
      <c r="L73" s="11">
        <v>2243753500</v>
      </c>
      <c r="M73" s="11">
        <v>2091040600</v>
      </c>
      <c r="N73" s="11">
        <v>2130047400</v>
      </c>
      <c r="O73" s="11">
        <v>2114954400</v>
      </c>
      <c r="P73" s="11">
        <v>2112643600</v>
      </c>
      <c r="Q73" s="11">
        <v>2263580150</v>
      </c>
      <c r="R73" s="11">
        <v>1873584000</v>
      </c>
      <c r="S73" s="11">
        <v>1995213900</v>
      </c>
      <c r="T73" s="11">
        <v>1939598950</v>
      </c>
      <c r="U73" s="11">
        <v>1846280350</v>
      </c>
      <c r="V73" s="11">
        <v>448655100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2243866100</v>
      </c>
      <c r="AD73" s="11">
        <v>2020627500</v>
      </c>
      <c r="AE73" s="11">
        <v>1959572900</v>
      </c>
      <c r="AF73" s="11">
        <v>1789947650</v>
      </c>
      <c r="AG73" s="11">
        <v>1647434150</v>
      </c>
      <c r="AH73" s="11">
        <v>1667727100</v>
      </c>
      <c r="AI73" s="11">
        <v>1569477750</v>
      </c>
      <c r="AJ73" s="11">
        <v>1712022350</v>
      </c>
      <c r="AK73" s="11">
        <v>1631480500</v>
      </c>
      <c r="AL73" s="11">
        <v>1685787300</v>
      </c>
      <c r="AM73" s="11">
        <v>1597675350</v>
      </c>
      <c r="AN73" s="11">
        <v>1770268750</v>
      </c>
      <c r="AO73" s="11">
        <v>1927238400</v>
      </c>
      <c r="AP73" s="11">
        <v>1612812050</v>
      </c>
      <c r="AQ73" s="11">
        <v>1785426600</v>
      </c>
      <c r="AR73" s="11">
        <v>1677351300</v>
      </c>
      <c r="AS73" s="11">
        <v>1661235700</v>
      </c>
      <c r="AT73" s="11">
        <v>1625383500</v>
      </c>
      <c r="AU73" s="11">
        <v>1680625650</v>
      </c>
      <c r="AV73" s="11">
        <v>1833599200</v>
      </c>
      <c r="AW73" s="11">
        <v>1640587400</v>
      </c>
      <c r="AX73" s="11">
        <v>1707903250</v>
      </c>
      <c r="AY73" s="11">
        <v>1797580300</v>
      </c>
      <c r="AZ73" s="11">
        <v>2010341700</v>
      </c>
      <c r="BA73" s="11">
        <v>1976745050</v>
      </c>
      <c r="BB73" s="11">
        <v>1715986300</v>
      </c>
      <c r="BC73" s="11">
        <v>1926110900</v>
      </c>
      <c r="BD73" s="11">
        <v>1847076600</v>
      </c>
      <c r="BE73" s="11">
        <v>1870113700</v>
      </c>
      <c r="BF73" s="11">
        <v>1768127100</v>
      </c>
      <c r="BG73" s="11">
        <v>1828051450</v>
      </c>
      <c r="BH73" s="11">
        <v>1876851850</v>
      </c>
      <c r="BI73" s="11">
        <v>1717876000</v>
      </c>
      <c r="BJ73" s="11">
        <v>1846053600</v>
      </c>
      <c r="BK73" s="11">
        <v>1869528500</v>
      </c>
      <c r="BL73" s="11">
        <v>1969428900</v>
      </c>
    </row>
    <row r="74" spans="1:64" x14ac:dyDescent="0.25">
      <c r="A74" s="1">
        <v>87</v>
      </c>
      <c r="B74" s="3" t="s">
        <v>121</v>
      </c>
      <c r="C74" s="3" t="s">
        <v>122</v>
      </c>
      <c r="D74" s="3" t="s">
        <v>125</v>
      </c>
      <c r="E74" s="4">
        <v>2315278500</v>
      </c>
      <c r="F74" s="4">
        <v>1776106150</v>
      </c>
      <c r="G74" s="4">
        <v>1831723200</v>
      </c>
      <c r="H74" s="4">
        <v>2038127100</v>
      </c>
      <c r="I74" s="4">
        <v>1894611600</v>
      </c>
      <c r="J74" s="4">
        <v>1977092200</v>
      </c>
      <c r="K74" s="4">
        <v>2105541700</v>
      </c>
      <c r="L74" s="4">
        <v>1891503000</v>
      </c>
      <c r="M74" s="4">
        <v>1836364900</v>
      </c>
      <c r="N74" s="4">
        <v>2036510950</v>
      </c>
      <c r="O74" s="4">
        <v>1905108650</v>
      </c>
      <c r="P74" s="4">
        <v>1993821300</v>
      </c>
      <c r="Q74" s="4">
        <v>2253423500</v>
      </c>
      <c r="R74" s="4">
        <v>1905055200</v>
      </c>
      <c r="S74" s="4">
        <v>2080085350</v>
      </c>
      <c r="T74" s="4">
        <v>2011714700</v>
      </c>
      <c r="U74" s="4">
        <v>1995115100</v>
      </c>
      <c r="V74" s="4">
        <v>1974132500</v>
      </c>
      <c r="W74" s="4">
        <v>2199708200</v>
      </c>
      <c r="X74" s="4">
        <v>2115750200</v>
      </c>
      <c r="Y74" s="4">
        <v>2079022800</v>
      </c>
      <c r="Z74" s="4">
        <v>2301652300</v>
      </c>
      <c r="AA74" s="4">
        <v>2196307500</v>
      </c>
      <c r="AB74" s="4">
        <v>2308448800</v>
      </c>
      <c r="AC74" s="4">
        <v>2645177400</v>
      </c>
      <c r="AD74" s="4">
        <v>2110275800</v>
      </c>
      <c r="AE74" s="4">
        <v>2270725800</v>
      </c>
      <c r="AF74" s="4">
        <v>2147861400</v>
      </c>
      <c r="AG74" s="4">
        <v>2025564700</v>
      </c>
      <c r="AH74" s="4">
        <v>2038860700</v>
      </c>
      <c r="AI74" s="4">
        <v>1835433800</v>
      </c>
      <c r="AJ74" s="4">
        <v>2247210000</v>
      </c>
      <c r="AK74" s="4">
        <v>2117606700</v>
      </c>
      <c r="AL74" s="4">
        <v>2270152000</v>
      </c>
      <c r="AM74" s="4">
        <v>2234502250</v>
      </c>
      <c r="AN74" s="4">
        <v>2401858100</v>
      </c>
      <c r="AO74" s="4">
        <v>2739829250</v>
      </c>
      <c r="AP74" s="4">
        <v>2121276900</v>
      </c>
      <c r="AQ74" s="4">
        <v>2429676150</v>
      </c>
      <c r="AR74" s="4">
        <v>2469286950</v>
      </c>
      <c r="AS74" s="4">
        <v>2484408700</v>
      </c>
      <c r="AT74" s="4">
        <v>2485052700</v>
      </c>
      <c r="AU74" s="4">
        <v>2309150100</v>
      </c>
      <c r="AV74" s="4">
        <v>2290211400</v>
      </c>
      <c r="AW74" s="4">
        <v>2267972900</v>
      </c>
      <c r="AX74" s="4">
        <v>2430942900</v>
      </c>
      <c r="AY74" s="4">
        <v>2341340550</v>
      </c>
      <c r="AZ74" s="4">
        <v>2559008400</v>
      </c>
      <c r="BA74" s="4">
        <v>2932552350</v>
      </c>
      <c r="BB74" s="4">
        <v>2244315300</v>
      </c>
      <c r="BC74" s="4">
        <v>2653763200</v>
      </c>
      <c r="BD74" s="4">
        <v>2628425450</v>
      </c>
      <c r="BE74" s="4">
        <v>2606455000</v>
      </c>
      <c r="BF74" s="4">
        <v>2702543600</v>
      </c>
      <c r="BG74" s="4">
        <v>2676527300</v>
      </c>
      <c r="BH74" s="4">
        <v>2612385300</v>
      </c>
      <c r="BI74" s="4">
        <v>2565315200</v>
      </c>
      <c r="BJ74" s="4">
        <v>2703902500</v>
      </c>
      <c r="BK74" s="4">
        <v>2610354450</v>
      </c>
      <c r="BL74" s="4">
        <v>2826491050</v>
      </c>
    </row>
    <row r="75" spans="1:64" x14ac:dyDescent="0.25">
      <c r="A75" s="1">
        <v>48</v>
      </c>
      <c r="B75" s="3" t="s">
        <v>70</v>
      </c>
      <c r="C75" s="3" t="s">
        <v>71</v>
      </c>
      <c r="D75" s="3" t="s">
        <v>73</v>
      </c>
      <c r="E75" s="4">
        <v>564388100</v>
      </c>
      <c r="F75" s="4">
        <v>513203100</v>
      </c>
      <c r="G75" s="4">
        <v>547251200</v>
      </c>
      <c r="H75" s="4">
        <v>526295200</v>
      </c>
      <c r="I75" s="4">
        <v>548214200</v>
      </c>
      <c r="J75" s="4">
        <v>494857500</v>
      </c>
      <c r="K75" s="4">
        <v>550722050</v>
      </c>
      <c r="L75" s="4">
        <v>546533000</v>
      </c>
      <c r="M75" s="4">
        <v>527839500</v>
      </c>
      <c r="N75" s="4">
        <v>516842300</v>
      </c>
      <c r="O75" s="4">
        <v>490304500</v>
      </c>
      <c r="P75" s="4">
        <v>532526000</v>
      </c>
      <c r="Q75" s="4">
        <v>476980000</v>
      </c>
      <c r="R75" s="4">
        <v>477489000</v>
      </c>
      <c r="S75" s="4">
        <v>531576500</v>
      </c>
      <c r="T75" s="4">
        <v>495069050</v>
      </c>
      <c r="U75" s="4">
        <v>525433000</v>
      </c>
      <c r="V75" s="4">
        <v>486207450</v>
      </c>
      <c r="W75" s="4">
        <v>545633100</v>
      </c>
      <c r="X75" s="4">
        <v>505072900</v>
      </c>
      <c r="Y75" s="4">
        <v>455399100</v>
      </c>
      <c r="Z75" s="4">
        <v>454686700</v>
      </c>
      <c r="AA75" s="4">
        <v>436457000</v>
      </c>
      <c r="AB75" s="4">
        <v>472036000</v>
      </c>
      <c r="AC75" s="4">
        <v>403208150</v>
      </c>
      <c r="AD75" s="4">
        <v>428755300</v>
      </c>
      <c r="AE75" s="4">
        <v>441131800</v>
      </c>
      <c r="AF75" s="4">
        <v>460244100</v>
      </c>
      <c r="AG75" s="4">
        <v>462278000</v>
      </c>
      <c r="AH75" s="4">
        <v>426801700</v>
      </c>
      <c r="AI75" s="4">
        <v>451820650</v>
      </c>
      <c r="AJ75" s="4">
        <v>474419650</v>
      </c>
      <c r="AK75" s="4">
        <v>488111100</v>
      </c>
      <c r="AL75" s="4">
        <v>474889250</v>
      </c>
      <c r="AM75" s="4">
        <v>455971150</v>
      </c>
      <c r="AN75" s="4">
        <v>495201600</v>
      </c>
      <c r="AO75" s="4">
        <v>437214050</v>
      </c>
      <c r="AP75" s="4">
        <v>451620500</v>
      </c>
      <c r="AQ75" s="4">
        <v>508070250</v>
      </c>
      <c r="AR75" s="4">
        <v>444994300</v>
      </c>
      <c r="AS75" s="4">
        <v>484992300</v>
      </c>
      <c r="AT75" s="4">
        <v>453421150</v>
      </c>
      <c r="AU75" s="4">
        <v>481984850</v>
      </c>
      <c r="AV75" s="4">
        <v>506928050</v>
      </c>
      <c r="AW75" s="4">
        <v>503683400</v>
      </c>
      <c r="AX75" s="4">
        <v>491163750</v>
      </c>
      <c r="AY75" s="4">
        <v>495470800</v>
      </c>
      <c r="AZ75" s="4">
        <v>531263450</v>
      </c>
      <c r="BA75" s="4">
        <v>473183250</v>
      </c>
      <c r="BB75" s="4">
        <v>497570250</v>
      </c>
      <c r="BC75" s="4">
        <v>520871850</v>
      </c>
      <c r="BD75" s="4">
        <v>532405850</v>
      </c>
      <c r="BE75" s="4">
        <v>541808500</v>
      </c>
      <c r="BF75" s="4">
        <v>500515500</v>
      </c>
      <c r="BG75" s="4">
        <v>526882750</v>
      </c>
      <c r="BH75" s="4">
        <v>554791000</v>
      </c>
      <c r="BI75" s="4">
        <v>564212350</v>
      </c>
      <c r="BJ75" s="4">
        <v>562431800</v>
      </c>
      <c r="BK75" s="4">
        <v>542384500</v>
      </c>
      <c r="BL75" s="4">
        <v>577241800</v>
      </c>
    </row>
    <row r="76" spans="1:64" x14ac:dyDescent="0.25">
      <c r="A76" s="1">
        <v>97</v>
      </c>
      <c r="B76" s="3" t="s">
        <v>143</v>
      </c>
      <c r="C76" s="3" t="s">
        <v>144</v>
      </c>
      <c r="D76" s="3" t="s">
        <v>145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136284400</v>
      </c>
      <c r="P76" s="4">
        <v>170695500</v>
      </c>
      <c r="Q76" s="4">
        <v>199428600</v>
      </c>
      <c r="R76" s="4">
        <v>140118900</v>
      </c>
      <c r="S76" s="4">
        <v>176233000</v>
      </c>
      <c r="T76" s="4">
        <v>171261500</v>
      </c>
      <c r="U76" s="4">
        <v>204008400</v>
      </c>
      <c r="V76" s="4">
        <v>167089100</v>
      </c>
      <c r="W76" s="4">
        <v>165703200</v>
      </c>
      <c r="X76" s="4">
        <v>170925000</v>
      </c>
      <c r="Y76" s="4">
        <v>152280300</v>
      </c>
      <c r="Z76" s="4">
        <v>181428600</v>
      </c>
      <c r="AA76" s="4">
        <v>183422300</v>
      </c>
      <c r="AB76" s="4">
        <v>221383800</v>
      </c>
      <c r="AC76" s="4">
        <v>231630400</v>
      </c>
      <c r="AD76" s="4">
        <v>198633400</v>
      </c>
      <c r="AE76" s="4">
        <v>294707100</v>
      </c>
      <c r="AF76" s="4">
        <v>278149100</v>
      </c>
      <c r="AG76" s="4">
        <v>264830700</v>
      </c>
      <c r="AH76" s="4">
        <v>313082400</v>
      </c>
      <c r="AI76" s="4">
        <v>348422700</v>
      </c>
      <c r="AJ76" s="4">
        <v>547876500</v>
      </c>
      <c r="AK76" s="4">
        <v>402871700</v>
      </c>
      <c r="AL76" s="4">
        <v>401896300</v>
      </c>
      <c r="AM76" s="4">
        <v>262589100</v>
      </c>
      <c r="AN76" s="4">
        <v>262356050</v>
      </c>
      <c r="AO76" s="4">
        <v>397425900</v>
      </c>
      <c r="AP76" s="4">
        <v>731856600</v>
      </c>
      <c r="AQ76" s="4">
        <v>424246300</v>
      </c>
      <c r="AR76" s="4">
        <v>394822700</v>
      </c>
      <c r="AS76" s="4">
        <v>381316500</v>
      </c>
      <c r="AT76" s="4">
        <v>376311100</v>
      </c>
      <c r="AU76" s="4">
        <v>336495200</v>
      </c>
      <c r="AV76" s="4">
        <v>336724300</v>
      </c>
      <c r="AW76" s="4">
        <v>330455800</v>
      </c>
      <c r="AX76" s="4">
        <v>351518600</v>
      </c>
      <c r="AY76" s="4">
        <v>323426700</v>
      </c>
      <c r="AZ76" s="4">
        <v>364436700</v>
      </c>
      <c r="BA76" s="4">
        <v>395106400</v>
      </c>
      <c r="BB76" s="4">
        <v>323835400</v>
      </c>
      <c r="BC76" s="4">
        <v>366588400</v>
      </c>
      <c r="BD76" s="4">
        <v>367128900</v>
      </c>
      <c r="BE76" s="4">
        <v>581121400</v>
      </c>
      <c r="BF76" s="4">
        <v>540215300</v>
      </c>
      <c r="BG76" s="4">
        <v>525201200</v>
      </c>
      <c r="BH76" s="4">
        <v>626835500</v>
      </c>
      <c r="BI76" s="4">
        <v>769451000</v>
      </c>
      <c r="BJ76" s="4">
        <v>421075300</v>
      </c>
      <c r="BK76" s="4">
        <v>489038800</v>
      </c>
      <c r="BL76" s="4">
        <v>498330200</v>
      </c>
    </row>
    <row r="77" spans="1:64" x14ac:dyDescent="0.25">
      <c r="A77" s="1">
        <v>58</v>
      </c>
      <c r="B77" s="3" t="s">
        <v>84</v>
      </c>
      <c r="C77" s="3" t="s">
        <v>85</v>
      </c>
      <c r="D77" s="3" t="s">
        <v>87</v>
      </c>
      <c r="E77" s="4">
        <v>1296574000</v>
      </c>
      <c r="F77" s="4">
        <v>1148706400</v>
      </c>
      <c r="G77" s="4">
        <v>1214373400</v>
      </c>
      <c r="H77" s="4">
        <v>1235670900</v>
      </c>
      <c r="I77" s="4">
        <v>1264626400</v>
      </c>
      <c r="J77" s="4">
        <v>1177512100</v>
      </c>
      <c r="K77" s="4">
        <v>1294145800</v>
      </c>
      <c r="L77" s="4">
        <v>1262807300</v>
      </c>
      <c r="M77" s="4">
        <v>1329229500</v>
      </c>
      <c r="N77" s="4">
        <v>1356373400</v>
      </c>
      <c r="O77" s="4">
        <v>1301903900</v>
      </c>
      <c r="P77" s="4">
        <v>1456006300</v>
      </c>
      <c r="Q77" s="4">
        <v>1521388000</v>
      </c>
      <c r="R77" s="4">
        <v>1405579900</v>
      </c>
      <c r="S77" s="4">
        <v>1539985800</v>
      </c>
      <c r="T77" s="4">
        <v>1519697700</v>
      </c>
      <c r="U77" s="4">
        <v>1521879400</v>
      </c>
      <c r="V77" s="4">
        <v>1545898500</v>
      </c>
      <c r="W77" s="4">
        <v>1643200500</v>
      </c>
      <c r="X77" s="4">
        <v>1601442400</v>
      </c>
      <c r="Y77" s="4">
        <v>1578083500</v>
      </c>
      <c r="Z77" s="4">
        <v>1657755900</v>
      </c>
      <c r="AA77" s="4">
        <v>1596536800</v>
      </c>
      <c r="AB77" s="4">
        <v>1814320500</v>
      </c>
      <c r="AC77" s="4">
        <v>1697474500</v>
      </c>
      <c r="AD77" s="4">
        <v>1504194600</v>
      </c>
      <c r="AE77" s="4">
        <v>1627858200</v>
      </c>
      <c r="AF77" s="4">
        <v>1534592800</v>
      </c>
      <c r="AG77" s="4">
        <v>1559250200</v>
      </c>
      <c r="AH77" s="4">
        <v>1532800100</v>
      </c>
      <c r="AI77" s="4">
        <f t="shared" ref="AI77:BL77" si="1">+AI78+AI79</f>
        <v>2302155100</v>
      </c>
      <c r="AJ77" s="4">
        <f t="shared" si="1"/>
        <v>2294727200</v>
      </c>
      <c r="AK77" s="4">
        <f t="shared" si="1"/>
        <v>2194619500</v>
      </c>
      <c r="AL77" s="4">
        <f t="shared" si="1"/>
        <v>2378790800</v>
      </c>
      <c r="AM77" s="4">
        <f t="shared" si="1"/>
        <v>2389195200</v>
      </c>
      <c r="AN77" s="4">
        <f t="shared" si="1"/>
        <v>2678947000</v>
      </c>
      <c r="AO77" s="4">
        <f t="shared" si="1"/>
        <v>3082409700</v>
      </c>
      <c r="AP77" s="4">
        <f t="shared" si="1"/>
        <v>2269321300</v>
      </c>
      <c r="AQ77" s="4">
        <f t="shared" si="1"/>
        <v>2421020100</v>
      </c>
      <c r="AR77" s="4">
        <f t="shared" si="1"/>
        <v>2387348000</v>
      </c>
      <c r="AS77" s="4">
        <f t="shared" si="1"/>
        <v>2460498800</v>
      </c>
      <c r="AT77" s="4">
        <f t="shared" si="1"/>
        <v>2406328900</v>
      </c>
      <c r="AU77" s="4">
        <f t="shared" si="1"/>
        <v>2520789900</v>
      </c>
      <c r="AV77" s="4">
        <f t="shared" si="1"/>
        <v>2540439500</v>
      </c>
      <c r="AW77" s="4">
        <f t="shared" si="1"/>
        <v>2365589700</v>
      </c>
      <c r="AX77" s="4">
        <f t="shared" si="1"/>
        <v>2479917900</v>
      </c>
      <c r="AY77" s="4">
        <f t="shared" si="1"/>
        <v>2498381800</v>
      </c>
      <c r="AZ77" s="4">
        <f t="shared" si="1"/>
        <v>2785852100</v>
      </c>
      <c r="BA77" s="4">
        <f t="shared" si="1"/>
        <v>2564814100</v>
      </c>
      <c r="BB77" s="4">
        <f t="shared" si="1"/>
        <v>2384960200</v>
      </c>
      <c r="BC77" s="4">
        <f t="shared" si="1"/>
        <v>2666352800</v>
      </c>
      <c r="BD77" s="4">
        <f t="shared" si="1"/>
        <v>2603061900</v>
      </c>
      <c r="BE77" s="4">
        <f t="shared" si="1"/>
        <v>2656346000</v>
      </c>
      <c r="BF77" s="4">
        <f t="shared" si="1"/>
        <v>2651667300</v>
      </c>
      <c r="BG77" s="4">
        <f t="shared" si="1"/>
        <v>2754044300</v>
      </c>
      <c r="BH77" s="4">
        <f t="shared" si="1"/>
        <v>2878109500</v>
      </c>
      <c r="BI77" s="4">
        <f t="shared" si="1"/>
        <v>2758373000</v>
      </c>
      <c r="BJ77" s="4">
        <f t="shared" si="1"/>
        <v>2729115900</v>
      </c>
      <c r="BK77" s="4">
        <f t="shared" si="1"/>
        <v>2787881700</v>
      </c>
      <c r="BL77" s="4">
        <f t="shared" si="1"/>
        <v>3033447900</v>
      </c>
    </row>
    <row r="78" spans="1:64" x14ac:dyDescent="0.25">
      <c r="A78" s="1">
        <v>22</v>
      </c>
      <c r="B78" s="3" t="s">
        <v>31</v>
      </c>
      <c r="C78" s="3" t="s">
        <v>32</v>
      </c>
      <c r="D78" s="3" t="s">
        <v>35</v>
      </c>
      <c r="E78" s="4">
        <v>1576883500</v>
      </c>
      <c r="F78" s="4">
        <v>1456348900</v>
      </c>
      <c r="G78" s="4">
        <v>1647097600</v>
      </c>
      <c r="H78" s="4">
        <v>1568155100</v>
      </c>
      <c r="I78" s="4">
        <v>1614441900</v>
      </c>
      <c r="J78" s="4">
        <v>1606379700</v>
      </c>
      <c r="K78" s="4">
        <v>1620732500</v>
      </c>
      <c r="L78" s="4">
        <v>1790855500</v>
      </c>
      <c r="M78" s="4">
        <v>1633656700</v>
      </c>
      <c r="N78" s="4">
        <v>1691992100</v>
      </c>
      <c r="O78" s="4">
        <v>1719911200</v>
      </c>
      <c r="P78" s="4">
        <v>1974287700</v>
      </c>
      <c r="Q78" s="4">
        <v>1792981600</v>
      </c>
      <c r="R78" s="4">
        <v>1668292900</v>
      </c>
      <c r="S78" s="4">
        <v>1881029400</v>
      </c>
      <c r="T78" s="4">
        <v>1748839400</v>
      </c>
      <c r="U78" s="4">
        <v>1935695200</v>
      </c>
      <c r="V78" s="4">
        <v>1875744500</v>
      </c>
      <c r="W78" s="4">
        <v>1926308300</v>
      </c>
      <c r="X78" s="4">
        <v>2008093100</v>
      </c>
      <c r="Y78" s="4">
        <v>1874506400</v>
      </c>
      <c r="Z78" s="4">
        <v>1876468200</v>
      </c>
      <c r="AA78" s="4">
        <v>1914328300</v>
      </c>
      <c r="AB78" s="4">
        <v>2205111700</v>
      </c>
      <c r="AC78" s="4">
        <v>2169139600</v>
      </c>
      <c r="AD78" s="4">
        <v>2069371300</v>
      </c>
      <c r="AE78" s="4">
        <v>2212855600</v>
      </c>
      <c r="AF78" s="4">
        <v>2073356300</v>
      </c>
      <c r="AG78" s="4">
        <v>2234760700</v>
      </c>
      <c r="AH78" s="4">
        <v>2187414400</v>
      </c>
      <c r="AI78" s="4">
        <v>2302155100</v>
      </c>
      <c r="AJ78" s="4">
        <v>2294727200</v>
      </c>
      <c r="AK78" s="4">
        <v>2194619500</v>
      </c>
      <c r="AL78" s="4">
        <v>2378790800</v>
      </c>
      <c r="AM78" s="4">
        <v>2389195200</v>
      </c>
      <c r="AN78" s="4">
        <v>2678947000</v>
      </c>
      <c r="AO78" s="4">
        <v>3082409700</v>
      </c>
      <c r="AP78" s="4">
        <v>2269321300</v>
      </c>
      <c r="AQ78" s="4">
        <v>2421020100</v>
      </c>
      <c r="AR78" s="4">
        <v>2387348000</v>
      </c>
      <c r="AS78" s="4">
        <v>2460498800</v>
      </c>
      <c r="AT78" s="4">
        <v>2406328900</v>
      </c>
      <c r="AU78" s="4">
        <v>2520789900</v>
      </c>
      <c r="AV78" s="4">
        <v>2540439500</v>
      </c>
      <c r="AW78" s="4">
        <v>2365589700</v>
      </c>
      <c r="AX78" s="4">
        <v>2479917900</v>
      </c>
      <c r="AY78" s="4">
        <v>2498381800</v>
      </c>
      <c r="AZ78" s="4">
        <v>2785852100</v>
      </c>
      <c r="BA78" s="4">
        <v>2564814100</v>
      </c>
      <c r="BB78" s="4">
        <v>2384960200</v>
      </c>
      <c r="BC78" s="4">
        <v>2666352800</v>
      </c>
      <c r="BD78" s="4">
        <v>2603061900</v>
      </c>
      <c r="BE78" s="4">
        <v>2656346000</v>
      </c>
      <c r="BF78" s="4">
        <v>2651667300</v>
      </c>
      <c r="BG78" s="4">
        <v>2754044300</v>
      </c>
      <c r="BH78" s="4">
        <v>2878109500</v>
      </c>
      <c r="BI78" s="4">
        <v>2758373000</v>
      </c>
      <c r="BJ78" s="4">
        <v>2729115900</v>
      </c>
      <c r="BK78" s="4">
        <v>2787881700</v>
      </c>
      <c r="BL78" s="4">
        <v>3033447900</v>
      </c>
    </row>
    <row r="79" spans="1:64" x14ac:dyDescent="0.25">
      <c r="A79" s="1">
        <v>93</v>
      </c>
      <c r="B79" s="3" t="s">
        <v>133</v>
      </c>
      <c r="C79" s="3" t="s">
        <v>134</v>
      </c>
      <c r="D79" s="3" t="s">
        <v>135</v>
      </c>
      <c r="E79" s="4">
        <v>1414146600</v>
      </c>
      <c r="F79" s="4">
        <v>1276450650</v>
      </c>
      <c r="G79" s="4">
        <v>1423559700</v>
      </c>
      <c r="H79" s="4">
        <v>1386361000</v>
      </c>
      <c r="I79" s="4">
        <v>1444567400</v>
      </c>
      <c r="J79" s="4">
        <v>1444652500</v>
      </c>
      <c r="K79" s="4">
        <v>1507330050</v>
      </c>
      <c r="L79" s="4">
        <v>1512693250</v>
      </c>
      <c r="M79" s="4">
        <v>1581958050</v>
      </c>
      <c r="N79" s="4">
        <v>1560825950</v>
      </c>
      <c r="O79" s="4">
        <v>1420176700</v>
      </c>
      <c r="P79" s="4">
        <v>1626390450</v>
      </c>
      <c r="Q79" s="4">
        <v>1563210200</v>
      </c>
      <c r="R79" s="4">
        <v>1380643850</v>
      </c>
      <c r="S79" s="4">
        <v>1553961250</v>
      </c>
      <c r="T79" s="4">
        <v>1484053100</v>
      </c>
      <c r="U79" s="4">
        <v>1567673700</v>
      </c>
      <c r="V79" s="4">
        <v>1530696900</v>
      </c>
      <c r="W79" s="4">
        <v>1611623000</v>
      </c>
      <c r="X79" s="4">
        <v>1577597700</v>
      </c>
      <c r="Y79" s="4">
        <v>1521657450</v>
      </c>
      <c r="Z79" s="4">
        <v>1585276950</v>
      </c>
      <c r="AA79" s="4">
        <v>1526604350</v>
      </c>
      <c r="AB79" s="4">
        <v>1683701500</v>
      </c>
      <c r="AC79" s="4">
        <v>1632784850</v>
      </c>
      <c r="AD79" s="4">
        <v>1516590650</v>
      </c>
      <c r="AE79" s="4">
        <v>1606434800</v>
      </c>
      <c r="AF79" s="4">
        <v>907071950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</row>
    <row r="80" spans="1:64" s="10" customFormat="1" x14ac:dyDescent="0.25">
      <c r="A80" s="8">
        <v>104</v>
      </c>
      <c r="B80" s="8" t="s">
        <v>160</v>
      </c>
      <c r="C80" s="8" t="s">
        <v>161</v>
      </c>
      <c r="D80" s="8" t="s">
        <v>162</v>
      </c>
      <c r="E80" s="11">
        <v>2102963400</v>
      </c>
      <c r="F80" s="11">
        <v>2057126250</v>
      </c>
      <c r="G80" s="11">
        <v>2216065000</v>
      </c>
      <c r="H80" s="11">
        <v>2287589700</v>
      </c>
      <c r="I80" s="11">
        <v>2558959200</v>
      </c>
      <c r="J80" s="11">
        <v>2250943600</v>
      </c>
      <c r="K80" s="11">
        <v>2588678800</v>
      </c>
      <c r="L80" s="11">
        <v>2382851500</v>
      </c>
      <c r="M80" s="11">
        <v>2356241600</v>
      </c>
      <c r="N80" s="11">
        <v>2390093300</v>
      </c>
      <c r="O80" s="11">
        <v>2330718000</v>
      </c>
      <c r="P80" s="11">
        <v>2213422000</v>
      </c>
      <c r="Q80" s="11">
        <v>2475885600</v>
      </c>
      <c r="R80" s="11">
        <v>2329421400</v>
      </c>
      <c r="S80" s="11">
        <v>2156610200</v>
      </c>
      <c r="T80" s="11">
        <v>2542695100</v>
      </c>
      <c r="U80" s="11">
        <v>2486655500</v>
      </c>
      <c r="V80" s="11">
        <v>2351376000</v>
      </c>
      <c r="W80" s="11">
        <v>2490489100</v>
      </c>
      <c r="X80" s="11">
        <v>2423158100</v>
      </c>
      <c r="Y80" s="11">
        <v>2509014000</v>
      </c>
      <c r="Z80" s="11">
        <v>2651365500</v>
      </c>
      <c r="AA80" s="11">
        <v>2348132200</v>
      </c>
      <c r="AB80" s="11">
        <v>2352579600</v>
      </c>
      <c r="AC80" s="11">
        <v>2698493400</v>
      </c>
      <c r="AD80" s="11">
        <v>2352882400</v>
      </c>
      <c r="AE80" s="11">
        <v>2677271500</v>
      </c>
      <c r="AF80" s="11">
        <v>2644123500</v>
      </c>
      <c r="AG80" s="11">
        <v>2754427500</v>
      </c>
      <c r="AH80" s="11">
        <v>2158119100</v>
      </c>
      <c r="AI80" s="11">
        <v>2327491900</v>
      </c>
      <c r="AJ80" s="11">
        <v>3324429600</v>
      </c>
      <c r="AK80" s="11">
        <v>2901793700</v>
      </c>
      <c r="AL80" s="11">
        <v>859357000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</row>
    <row r="81" spans="1:64" s="10" customFormat="1" x14ac:dyDescent="0.25">
      <c r="A81" s="8">
        <v>139</v>
      </c>
      <c r="B81" s="8" t="s">
        <v>203</v>
      </c>
      <c r="C81" s="8" t="s">
        <v>204</v>
      </c>
      <c r="D81" s="8" t="s">
        <v>162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1950708700</v>
      </c>
      <c r="AM81" s="11">
        <v>2735222250</v>
      </c>
      <c r="AN81" s="11">
        <v>2736024950</v>
      </c>
      <c r="AO81" s="11">
        <v>1974372350</v>
      </c>
      <c r="AP81" s="11">
        <v>2685649750</v>
      </c>
      <c r="AQ81" s="11">
        <v>2491606350</v>
      </c>
      <c r="AR81" s="11">
        <v>2924137000</v>
      </c>
      <c r="AS81" s="11">
        <v>1584107150</v>
      </c>
      <c r="AT81" s="11">
        <v>3186561700</v>
      </c>
      <c r="AU81" s="11">
        <v>3075210300</v>
      </c>
      <c r="AV81" s="11">
        <v>2844645600</v>
      </c>
      <c r="AW81" s="11">
        <v>2807570100</v>
      </c>
      <c r="AX81" s="11">
        <v>2673429700</v>
      </c>
      <c r="AY81" s="11">
        <v>2713771050</v>
      </c>
      <c r="AZ81" s="11">
        <v>2611808100</v>
      </c>
      <c r="BA81" s="11">
        <v>2841244000</v>
      </c>
      <c r="BB81" s="11">
        <v>2592955100</v>
      </c>
      <c r="BC81" s="11">
        <v>2740314600</v>
      </c>
      <c r="BD81" s="11">
        <v>2801430950</v>
      </c>
      <c r="BE81" s="11">
        <v>3039575250</v>
      </c>
      <c r="BF81" s="11">
        <v>2928940900</v>
      </c>
      <c r="BG81" s="11">
        <v>3077413200</v>
      </c>
      <c r="BH81" s="11">
        <v>3375821300</v>
      </c>
      <c r="BI81" s="11">
        <v>3020136500</v>
      </c>
      <c r="BJ81" s="11">
        <v>3096700300</v>
      </c>
      <c r="BK81" s="11">
        <v>3038272200</v>
      </c>
      <c r="BL81" s="11">
        <v>2907643500</v>
      </c>
    </row>
    <row r="82" spans="1:64" x14ac:dyDescent="0.25">
      <c r="A82" s="1">
        <v>49</v>
      </c>
      <c r="B82" s="3" t="s">
        <v>70</v>
      </c>
      <c r="C82" s="3" t="s">
        <v>71</v>
      </c>
      <c r="D82" s="3" t="s">
        <v>74</v>
      </c>
      <c r="E82" s="4">
        <v>1200304600</v>
      </c>
      <c r="F82" s="4">
        <v>974234050</v>
      </c>
      <c r="G82" s="4">
        <v>1073882400</v>
      </c>
      <c r="H82" s="4">
        <v>1130469200</v>
      </c>
      <c r="I82" s="4">
        <v>1031503700</v>
      </c>
      <c r="J82" s="4">
        <v>1041179400</v>
      </c>
      <c r="K82" s="4">
        <v>1069724600</v>
      </c>
      <c r="L82" s="4">
        <v>1118193300</v>
      </c>
      <c r="M82" s="4">
        <v>1015506150</v>
      </c>
      <c r="N82" s="4">
        <v>1108873000</v>
      </c>
      <c r="O82" s="4">
        <v>1024124150</v>
      </c>
      <c r="P82" s="4">
        <v>1077824750</v>
      </c>
      <c r="Q82" s="4">
        <v>1134949600</v>
      </c>
      <c r="R82" s="4">
        <v>962615900</v>
      </c>
      <c r="S82" s="4">
        <v>1080502300</v>
      </c>
      <c r="T82" s="4">
        <v>1109485250</v>
      </c>
      <c r="U82" s="4">
        <v>1155811500</v>
      </c>
      <c r="V82" s="4">
        <v>1115435350</v>
      </c>
      <c r="W82" s="4">
        <v>1116971200</v>
      </c>
      <c r="X82" s="4">
        <v>1115246500</v>
      </c>
      <c r="Y82" s="4">
        <v>1016131100</v>
      </c>
      <c r="Z82" s="4">
        <v>1136661900</v>
      </c>
      <c r="AA82" s="4">
        <v>1086090950</v>
      </c>
      <c r="AB82" s="4">
        <v>1218415100</v>
      </c>
      <c r="AC82" s="4">
        <v>1267693550</v>
      </c>
      <c r="AD82" s="4">
        <v>1087644100</v>
      </c>
      <c r="AE82" s="4">
        <v>1272424450</v>
      </c>
      <c r="AF82" s="4">
        <v>1115880600</v>
      </c>
      <c r="AG82" s="4">
        <v>1223572200</v>
      </c>
      <c r="AH82" s="4">
        <v>1148420200</v>
      </c>
      <c r="AI82" s="4">
        <v>1176423350</v>
      </c>
      <c r="AJ82" s="4">
        <v>1294630350</v>
      </c>
      <c r="AK82" s="4">
        <v>1146350050</v>
      </c>
      <c r="AL82" s="4">
        <v>1239351500</v>
      </c>
      <c r="AM82" s="4">
        <v>1176485100</v>
      </c>
      <c r="AN82" s="4">
        <v>1294463650</v>
      </c>
      <c r="AO82" s="4">
        <v>1334227300</v>
      </c>
      <c r="AP82" s="4">
        <v>1136237150</v>
      </c>
      <c r="AQ82" s="4">
        <v>1230218050</v>
      </c>
      <c r="AR82" s="4">
        <v>1329877600</v>
      </c>
      <c r="AS82" s="4">
        <v>1283757850</v>
      </c>
      <c r="AT82" s="4">
        <v>1300072300</v>
      </c>
      <c r="AU82" s="4">
        <v>1361313100</v>
      </c>
      <c r="AV82" s="4">
        <v>1369906450</v>
      </c>
      <c r="AW82" s="4">
        <v>1258617000</v>
      </c>
      <c r="AX82" s="4">
        <v>1388879100</v>
      </c>
      <c r="AY82" s="4">
        <v>1343525500</v>
      </c>
      <c r="AZ82" s="4">
        <v>1432306700</v>
      </c>
      <c r="BA82" s="4">
        <v>1502644550</v>
      </c>
      <c r="BB82" s="4">
        <v>1173914800</v>
      </c>
      <c r="BC82" s="4">
        <v>1467338500</v>
      </c>
      <c r="BD82" s="4">
        <v>1333516100</v>
      </c>
      <c r="BE82" s="4">
        <v>1325193300</v>
      </c>
      <c r="BF82" s="4">
        <v>1407827250</v>
      </c>
      <c r="BG82" s="4">
        <v>1518446800</v>
      </c>
      <c r="BH82" s="4">
        <v>1552884800</v>
      </c>
      <c r="BI82" s="4">
        <v>1418386600</v>
      </c>
      <c r="BJ82" s="4">
        <v>1428226700</v>
      </c>
      <c r="BK82" s="4">
        <v>1385363700</v>
      </c>
      <c r="BL82" s="4">
        <v>1614721200</v>
      </c>
    </row>
    <row r="83" spans="1:64" x14ac:dyDescent="0.25">
      <c r="A83" s="1">
        <v>147</v>
      </c>
      <c r="B83" s="3" t="s">
        <v>218</v>
      </c>
      <c r="C83" s="3" t="s">
        <v>219</v>
      </c>
      <c r="D83" s="3" t="s">
        <v>221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324820000</v>
      </c>
      <c r="Z83" s="4">
        <v>1292611547</v>
      </c>
      <c r="AA83" s="4">
        <v>1259771450</v>
      </c>
      <c r="AB83" s="4">
        <v>1458632950</v>
      </c>
      <c r="AC83" s="4">
        <v>1383821850</v>
      </c>
      <c r="AD83" s="4">
        <v>1166403750</v>
      </c>
      <c r="AE83" s="4">
        <v>1312718150</v>
      </c>
      <c r="AF83" s="4">
        <v>1225580400</v>
      </c>
      <c r="AG83" s="4">
        <v>1299439900</v>
      </c>
      <c r="AH83" s="4">
        <v>1263578800</v>
      </c>
      <c r="AI83" s="4">
        <v>1269069650</v>
      </c>
      <c r="AJ83" s="4">
        <v>1361228150</v>
      </c>
      <c r="AK83" s="4">
        <v>1324864300</v>
      </c>
      <c r="AL83" s="4">
        <v>1409495800</v>
      </c>
      <c r="AM83" s="4">
        <v>1393672350</v>
      </c>
      <c r="AN83" s="4">
        <v>1567409064</v>
      </c>
      <c r="AO83" s="4">
        <v>1439550750</v>
      </c>
      <c r="AP83" s="4">
        <v>1122225400</v>
      </c>
      <c r="AQ83" s="4">
        <v>1341164500</v>
      </c>
      <c r="AR83" s="4">
        <v>1356628500</v>
      </c>
      <c r="AS83" s="4">
        <v>1297133300</v>
      </c>
      <c r="AT83" s="4">
        <v>1380126950</v>
      </c>
      <c r="AU83" s="4">
        <v>1442567850</v>
      </c>
      <c r="AV83" s="4">
        <v>1410243450</v>
      </c>
      <c r="AW83" s="4">
        <v>1331761050</v>
      </c>
      <c r="AX83" s="4">
        <v>1378981400</v>
      </c>
      <c r="AY83" s="4">
        <v>1353968700</v>
      </c>
      <c r="AZ83" s="4">
        <v>1599764450</v>
      </c>
      <c r="BA83" s="4">
        <v>1516525750</v>
      </c>
      <c r="BB83" s="4">
        <v>1221803700</v>
      </c>
      <c r="BC83" s="4">
        <v>1429173000</v>
      </c>
      <c r="BD83" s="4">
        <v>1296809300</v>
      </c>
      <c r="BE83" s="4">
        <v>1323148700</v>
      </c>
      <c r="BF83" s="4">
        <v>1321953700</v>
      </c>
      <c r="BG83" s="4">
        <v>1392117700</v>
      </c>
      <c r="BH83" s="4">
        <v>1395656350</v>
      </c>
      <c r="BI83" s="4">
        <v>1328419400</v>
      </c>
      <c r="BJ83" s="4">
        <v>1453270650</v>
      </c>
      <c r="BK83" s="4">
        <v>1415271800</v>
      </c>
      <c r="BL83" s="4">
        <v>1633511100</v>
      </c>
    </row>
    <row r="84" spans="1:64" x14ac:dyDescent="0.25">
      <c r="A84" s="1">
        <v>154</v>
      </c>
      <c r="B84" s="3" t="s">
        <v>228</v>
      </c>
      <c r="C84" s="3" t="s">
        <v>229</v>
      </c>
      <c r="D84" s="3" t="s">
        <v>232</v>
      </c>
      <c r="E84" s="4">
        <v>1658133550</v>
      </c>
      <c r="F84" s="4">
        <v>1245158250</v>
      </c>
      <c r="G84" s="4">
        <v>1298669250</v>
      </c>
      <c r="H84" s="4">
        <v>1468263300</v>
      </c>
      <c r="I84" s="4">
        <v>1910419600</v>
      </c>
      <c r="J84" s="4">
        <v>1535401450</v>
      </c>
      <c r="K84" s="4">
        <v>1432841500</v>
      </c>
      <c r="L84" s="4">
        <v>1366999450</v>
      </c>
      <c r="M84" s="4">
        <v>1314220900</v>
      </c>
      <c r="N84" s="4">
        <v>1490829850</v>
      </c>
      <c r="O84" s="4">
        <v>1555107950</v>
      </c>
      <c r="P84" s="4">
        <v>1646180150</v>
      </c>
      <c r="Q84" s="4">
        <v>1746210100</v>
      </c>
      <c r="R84" s="4">
        <v>1291065500</v>
      </c>
      <c r="S84" s="4">
        <v>1396930950</v>
      </c>
      <c r="T84" s="4">
        <v>1519316100</v>
      </c>
      <c r="U84" s="4">
        <v>1451766150</v>
      </c>
      <c r="V84" s="4">
        <v>1532760000</v>
      </c>
      <c r="W84" s="4">
        <v>1571360050</v>
      </c>
      <c r="X84" s="4">
        <v>1501421300</v>
      </c>
      <c r="Y84" s="4">
        <v>1410408850</v>
      </c>
      <c r="Z84" s="4">
        <v>1617120500</v>
      </c>
      <c r="AA84" s="4">
        <v>1560291300</v>
      </c>
      <c r="AB84" s="4">
        <v>1785514450</v>
      </c>
      <c r="AC84" s="4">
        <v>1884646000</v>
      </c>
      <c r="AD84" s="4">
        <v>1456885100</v>
      </c>
      <c r="AE84" s="4">
        <v>1698117650</v>
      </c>
      <c r="AF84" s="4">
        <v>1444836100</v>
      </c>
      <c r="AG84" s="4">
        <v>1535456400</v>
      </c>
      <c r="AH84" s="4">
        <v>1466088800</v>
      </c>
      <c r="AI84" s="4">
        <v>1308147500</v>
      </c>
      <c r="AJ84" s="4">
        <v>1609243550</v>
      </c>
      <c r="AK84" s="4">
        <v>1538645250</v>
      </c>
      <c r="AL84" s="4">
        <v>1660421100</v>
      </c>
      <c r="AM84" s="4">
        <v>1665549100</v>
      </c>
      <c r="AN84" s="4">
        <v>1885293900</v>
      </c>
      <c r="AO84" s="4">
        <v>1990962400</v>
      </c>
      <c r="AP84" s="4">
        <v>1510205100</v>
      </c>
      <c r="AQ84" s="4">
        <v>1636824100</v>
      </c>
      <c r="AR84" s="4">
        <v>1752823350</v>
      </c>
      <c r="AS84" s="4">
        <v>1598617900</v>
      </c>
      <c r="AT84" s="4">
        <v>1667709600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</row>
    <row r="85" spans="1:64" x14ac:dyDescent="0.25">
      <c r="A85" s="1">
        <v>61</v>
      </c>
      <c r="B85" s="3" t="s">
        <v>84</v>
      </c>
      <c r="C85" s="3" t="s">
        <v>85</v>
      </c>
      <c r="D85" s="3" t="s">
        <v>236</v>
      </c>
      <c r="E85" s="4">
        <v>1493230800</v>
      </c>
      <c r="F85" s="4">
        <v>1296061400</v>
      </c>
      <c r="G85" s="4">
        <v>1443667600</v>
      </c>
      <c r="H85" s="4">
        <v>1449939000</v>
      </c>
      <c r="I85" s="4">
        <v>1429217500</v>
      </c>
      <c r="J85" s="4">
        <v>1390790000</v>
      </c>
      <c r="K85" s="4">
        <v>1491786500</v>
      </c>
      <c r="L85" s="4">
        <v>1445124100</v>
      </c>
      <c r="M85" s="4">
        <v>1450408500</v>
      </c>
      <c r="N85" s="4">
        <v>1535522300</v>
      </c>
      <c r="O85" s="4">
        <v>1451638500</v>
      </c>
      <c r="P85" s="4">
        <v>1644556400</v>
      </c>
      <c r="Q85" s="4">
        <v>1719013600</v>
      </c>
      <c r="R85" s="4">
        <v>1588999500</v>
      </c>
      <c r="S85" s="4">
        <v>1829601600</v>
      </c>
      <c r="T85" s="4">
        <v>1771355200</v>
      </c>
      <c r="U85" s="4">
        <v>1796541400</v>
      </c>
      <c r="V85" s="4">
        <v>1864076000</v>
      </c>
      <c r="W85" s="4">
        <v>1926210600</v>
      </c>
      <c r="X85" s="4">
        <v>1925373300</v>
      </c>
      <c r="Y85" s="4">
        <v>1897725200</v>
      </c>
      <c r="Z85" s="4">
        <v>2011113600</v>
      </c>
      <c r="AA85" s="4">
        <v>1961120500</v>
      </c>
      <c r="AB85" s="4">
        <v>2211310900</v>
      </c>
      <c r="AC85" s="4">
        <v>2123530400</v>
      </c>
      <c r="AD85" s="4">
        <v>1842983900</v>
      </c>
      <c r="AE85" s="4">
        <v>2046876500</v>
      </c>
      <c r="AF85" s="4">
        <v>1870379500</v>
      </c>
      <c r="AG85" s="4">
        <v>1965232200</v>
      </c>
      <c r="AH85" s="4">
        <v>1998127300</v>
      </c>
      <c r="AI85" s="4">
        <f t="shared" ref="AI85:BL85" si="2">+AI86+AI87</f>
        <v>1996082850</v>
      </c>
      <c r="AJ85" s="4">
        <f t="shared" si="2"/>
        <v>2637689100</v>
      </c>
      <c r="AK85" s="4">
        <f t="shared" si="2"/>
        <v>2408398300</v>
      </c>
      <c r="AL85" s="4">
        <f t="shared" si="2"/>
        <v>2557486900</v>
      </c>
      <c r="AM85" s="4">
        <f t="shared" si="2"/>
        <v>2446192750</v>
      </c>
      <c r="AN85" s="4">
        <f t="shared" si="2"/>
        <v>2854989650</v>
      </c>
      <c r="AO85" s="4">
        <f t="shared" si="2"/>
        <v>3220155150</v>
      </c>
      <c r="AP85" s="4">
        <f t="shared" si="2"/>
        <v>2426124900</v>
      </c>
      <c r="AQ85" s="4">
        <f t="shared" si="2"/>
        <v>2695116600</v>
      </c>
      <c r="AR85" s="4">
        <f t="shared" si="2"/>
        <v>2830236500</v>
      </c>
      <c r="AS85" s="4">
        <f t="shared" si="2"/>
        <v>2699831000</v>
      </c>
      <c r="AT85" s="4">
        <f t="shared" si="2"/>
        <v>2770676100</v>
      </c>
      <c r="AU85" s="4">
        <f t="shared" si="2"/>
        <v>2756721900</v>
      </c>
      <c r="AV85" s="4">
        <f t="shared" si="2"/>
        <v>2753812400</v>
      </c>
      <c r="AW85" s="4">
        <f t="shared" si="2"/>
        <v>2677547000</v>
      </c>
      <c r="AX85" s="4">
        <f t="shared" si="2"/>
        <v>2821619500</v>
      </c>
      <c r="AY85" s="4">
        <f t="shared" si="2"/>
        <v>2751679500</v>
      </c>
      <c r="AZ85" s="4">
        <f t="shared" si="2"/>
        <v>3236604500</v>
      </c>
      <c r="BA85" s="4">
        <f t="shared" si="2"/>
        <v>3701095900</v>
      </c>
      <c r="BB85" s="4">
        <f t="shared" si="2"/>
        <v>2801170900</v>
      </c>
      <c r="BC85" s="4">
        <f t="shared" si="2"/>
        <v>3153682900</v>
      </c>
      <c r="BD85" s="4">
        <f t="shared" si="2"/>
        <v>2990784400</v>
      </c>
      <c r="BE85" s="4">
        <f t="shared" si="2"/>
        <v>2427326400</v>
      </c>
      <c r="BF85" s="4">
        <f t="shared" si="2"/>
        <v>1752180500</v>
      </c>
      <c r="BG85" s="4">
        <f t="shared" si="2"/>
        <v>2859372250</v>
      </c>
      <c r="BH85" s="4">
        <f t="shared" si="2"/>
        <v>3025809800</v>
      </c>
      <c r="BI85" s="4">
        <f t="shared" si="2"/>
        <v>2704318800</v>
      </c>
      <c r="BJ85" s="4">
        <f t="shared" si="2"/>
        <v>3067207600</v>
      </c>
      <c r="BK85" s="4">
        <f t="shared" si="2"/>
        <v>3017647200</v>
      </c>
      <c r="BL85" s="4">
        <f t="shared" si="2"/>
        <v>3472910050</v>
      </c>
    </row>
    <row r="86" spans="1:64" x14ac:dyDescent="0.25">
      <c r="A86" s="1">
        <v>148</v>
      </c>
      <c r="B86" s="3" t="s">
        <v>222</v>
      </c>
      <c r="C86" s="3" t="s">
        <v>223</v>
      </c>
      <c r="D86" s="3" t="s">
        <v>224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46189100</v>
      </c>
      <c r="Y86" s="4">
        <v>344822600</v>
      </c>
      <c r="Z86" s="4">
        <v>423792800</v>
      </c>
      <c r="AA86" s="4">
        <v>371252500</v>
      </c>
      <c r="AB86" s="4">
        <v>482785400</v>
      </c>
      <c r="AC86" s="4">
        <v>550823100</v>
      </c>
      <c r="AD86" s="4">
        <v>365530800</v>
      </c>
      <c r="AE86" s="4">
        <v>469439800</v>
      </c>
      <c r="AF86" s="4">
        <v>353343900</v>
      </c>
      <c r="AG86" s="4">
        <v>436575200</v>
      </c>
      <c r="AH86" s="4">
        <v>423333600</v>
      </c>
      <c r="AI86" s="4">
        <v>407576700</v>
      </c>
      <c r="AJ86" s="4">
        <v>428631200</v>
      </c>
      <c r="AK86" s="4">
        <v>397953000</v>
      </c>
      <c r="AL86" s="4">
        <v>461402250</v>
      </c>
      <c r="AM86" s="4">
        <v>444178200</v>
      </c>
      <c r="AN86" s="4">
        <v>513041700</v>
      </c>
      <c r="AO86" s="4">
        <v>582426300</v>
      </c>
      <c r="AP86" s="4">
        <v>375107000</v>
      </c>
      <c r="AQ86" s="4">
        <v>424233600</v>
      </c>
      <c r="AR86" s="4">
        <v>473352200</v>
      </c>
      <c r="AS86" s="4">
        <v>429468000</v>
      </c>
      <c r="AT86" s="4">
        <v>454916000</v>
      </c>
      <c r="AU86" s="4">
        <v>456223400</v>
      </c>
      <c r="AV86" s="4">
        <v>446012000</v>
      </c>
      <c r="AW86" s="4">
        <v>410977300</v>
      </c>
      <c r="AX86" s="4">
        <v>465360100</v>
      </c>
      <c r="AY86" s="4">
        <v>463078500</v>
      </c>
      <c r="AZ86" s="4">
        <v>569047700</v>
      </c>
      <c r="BA86" s="4">
        <v>593629500</v>
      </c>
      <c r="BB86" s="4">
        <v>404158800</v>
      </c>
      <c r="BC86" s="4">
        <v>511325800</v>
      </c>
      <c r="BD86" s="4">
        <v>415071000</v>
      </c>
      <c r="BE86" s="4">
        <v>437884000</v>
      </c>
      <c r="BF86" s="4">
        <v>464971800</v>
      </c>
      <c r="BG86" s="4">
        <v>445595050</v>
      </c>
      <c r="BH86" s="4">
        <v>449457000</v>
      </c>
      <c r="BI86" s="4">
        <v>412725200</v>
      </c>
      <c r="BJ86" s="4">
        <v>509505800</v>
      </c>
      <c r="BK86" s="4">
        <v>499814100</v>
      </c>
      <c r="BL86" s="4">
        <v>600282950</v>
      </c>
    </row>
    <row r="87" spans="1:64" x14ac:dyDescent="0.25">
      <c r="A87" s="1">
        <v>118</v>
      </c>
      <c r="B87" s="3" t="s">
        <v>177</v>
      </c>
      <c r="C87" s="3" t="s">
        <v>178</v>
      </c>
      <c r="D87" s="3" t="s">
        <v>181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363342000</v>
      </c>
      <c r="AI87" s="4">
        <v>1588506150</v>
      </c>
      <c r="AJ87" s="4">
        <v>2209057900</v>
      </c>
      <c r="AK87" s="4">
        <v>2010445300</v>
      </c>
      <c r="AL87" s="4">
        <v>2096084650</v>
      </c>
      <c r="AM87" s="4">
        <v>2002014550</v>
      </c>
      <c r="AN87" s="4">
        <v>2341947950</v>
      </c>
      <c r="AO87" s="4">
        <v>2637728850</v>
      </c>
      <c r="AP87" s="4">
        <v>2051017900</v>
      </c>
      <c r="AQ87" s="4">
        <v>2270883000</v>
      </c>
      <c r="AR87" s="4">
        <v>2356884300</v>
      </c>
      <c r="AS87" s="4">
        <v>2270363000</v>
      </c>
      <c r="AT87" s="4">
        <v>2315760100</v>
      </c>
      <c r="AU87" s="4">
        <v>2300498500</v>
      </c>
      <c r="AV87" s="4">
        <v>2307800400</v>
      </c>
      <c r="AW87" s="4">
        <v>2266569700</v>
      </c>
      <c r="AX87" s="4">
        <v>2356259400</v>
      </c>
      <c r="AY87" s="4">
        <v>2288601000</v>
      </c>
      <c r="AZ87" s="4">
        <v>2667556800</v>
      </c>
      <c r="BA87" s="4">
        <v>3107466400</v>
      </c>
      <c r="BB87" s="4">
        <v>2397012100</v>
      </c>
      <c r="BC87" s="4">
        <v>2642357100</v>
      </c>
      <c r="BD87" s="4">
        <v>2575713400</v>
      </c>
      <c r="BE87" s="4">
        <v>1989442400</v>
      </c>
      <c r="BF87" s="4">
        <v>1287208700</v>
      </c>
      <c r="BG87" s="4">
        <v>2413777200</v>
      </c>
      <c r="BH87" s="4">
        <v>2576352800</v>
      </c>
      <c r="BI87" s="4">
        <v>2291593600</v>
      </c>
      <c r="BJ87" s="4">
        <v>2557701800</v>
      </c>
      <c r="BK87" s="4">
        <v>2517833100</v>
      </c>
      <c r="BL87" s="4">
        <v>2872627100</v>
      </c>
    </row>
    <row r="88" spans="1:64" x14ac:dyDescent="0.25">
      <c r="A88" s="1">
        <v>14</v>
      </c>
      <c r="B88" s="3" t="s">
        <v>21</v>
      </c>
      <c r="C88" s="3" t="s">
        <v>22</v>
      </c>
      <c r="D88" s="3" t="s">
        <v>23</v>
      </c>
      <c r="E88" s="4">
        <v>1157061600</v>
      </c>
      <c r="F88" s="4">
        <v>819281500</v>
      </c>
      <c r="G88" s="4">
        <v>978894100</v>
      </c>
      <c r="H88" s="4">
        <v>999376200</v>
      </c>
      <c r="I88" s="4">
        <v>891812300</v>
      </c>
      <c r="J88" s="4">
        <v>925926600</v>
      </c>
      <c r="K88" s="4">
        <v>962069500</v>
      </c>
      <c r="L88" s="4">
        <v>973316600</v>
      </c>
      <c r="M88" s="4">
        <v>835721600</v>
      </c>
      <c r="N88" s="4">
        <v>968627300</v>
      </c>
      <c r="O88" s="4">
        <v>922247800</v>
      </c>
      <c r="P88" s="4">
        <v>1138067300</v>
      </c>
      <c r="Q88" s="4">
        <v>1246563000</v>
      </c>
      <c r="R88" s="4">
        <v>957797500</v>
      </c>
      <c r="S88" s="4">
        <v>1000693200</v>
      </c>
      <c r="T88" s="4">
        <v>1007288300</v>
      </c>
      <c r="U88" s="4">
        <v>993394300</v>
      </c>
      <c r="V88" s="4">
        <v>1047211200</v>
      </c>
      <c r="W88" s="4">
        <v>1087733100</v>
      </c>
      <c r="X88" s="4">
        <v>1043921800</v>
      </c>
      <c r="Y88" s="4">
        <v>933422300</v>
      </c>
      <c r="Z88" s="4">
        <v>1066693900</v>
      </c>
      <c r="AA88" s="4">
        <v>1068220800</v>
      </c>
      <c r="AB88" s="4">
        <v>1271817900</v>
      </c>
      <c r="AC88" s="4">
        <v>1360247800</v>
      </c>
      <c r="AD88" s="4">
        <v>1119857700</v>
      </c>
      <c r="AE88" s="4">
        <v>1254757105</v>
      </c>
      <c r="AF88" s="4">
        <v>1027319100</v>
      </c>
      <c r="AG88" s="4">
        <v>1107914600</v>
      </c>
      <c r="AH88" s="4">
        <v>1134948800</v>
      </c>
      <c r="AI88" s="4">
        <v>1287230300</v>
      </c>
      <c r="AJ88" s="4">
        <v>1194285500</v>
      </c>
      <c r="AK88" s="4">
        <v>1074857000</v>
      </c>
      <c r="AL88" s="4">
        <v>1209087500</v>
      </c>
      <c r="AM88" s="4">
        <v>1154353000</v>
      </c>
      <c r="AN88" s="4">
        <v>1409644600</v>
      </c>
      <c r="AO88" s="4">
        <v>1604925800</v>
      </c>
      <c r="AP88" s="4">
        <v>1297685000</v>
      </c>
      <c r="AQ88" s="4">
        <v>1298239600</v>
      </c>
      <c r="AR88" s="4">
        <v>1355638600</v>
      </c>
      <c r="AS88" s="4">
        <v>1168034200</v>
      </c>
      <c r="AT88" s="4">
        <v>1308688300</v>
      </c>
      <c r="AU88" s="4">
        <v>1409359600</v>
      </c>
      <c r="AV88" s="4">
        <v>1287930300</v>
      </c>
      <c r="AW88" s="4">
        <v>1257138300</v>
      </c>
      <c r="AX88" s="4">
        <v>1434037300</v>
      </c>
      <c r="AY88" s="4">
        <v>1272099100</v>
      </c>
      <c r="AZ88" s="4">
        <v>1531198900</v>
      </c>
      <c r="BA88" s="4">
        <v>1697954400</v>
      </c>
      <c r="BB88" s="4">
        <v>1368183100</v>
      </c>
      <c r="BC88" s="4">
        <v>1574193200</v>
      </c>
      <c r="BD88" s="4">
        <v>1361276500</v>
      </c>
      <c r="BE88" s="4">
        <v>1282236400</v>
      </c>
      <c r="BF88" s="4">
        <v>1381678100</v>
      </c>
      <c r="BG88" s="4">
        <v>1551745100</v>
      </c>
      <c r="BH88" s="4">
        <v>1478232100</v>
      </c>
      <c r="BI88" s="4">
        <v>1318668800</v>
      </c>
      <c r="BJ88" s="4">
        <v>1454829300</v>
      </c>
      <c r="BK88" s="4">
        <v>1437096000</v>
      </c>
      <c r="BL88" s="4">
        <v>1765275600</v>
      </c>
    </row>
    <row r="89" spans="1:64" x14ac:dyDescent="0.25">
      <c r="A89" s="1">
        <v>119</v>
      </c>
      <c r="B89" s="3" t="s">
        <v>177</v>
      </c>
      <c r="C89" s="3" t="s">
        <v>178</v>
      </c>
      <c r="D89" s="3" t="s">
        <v>182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89973700</v>
      </c>
      <c r="AB89" s="4">
        <v>837595800</v>
      </c>
      <c r="AC89" s="4">
        <v>1011029900</v>
      </c>
      <c r="AD89" s="4">
        <v>653211700</v>
      </c>
      <c r="AE89" s="4">
        <v>838102600</v>
      </c>
      <c r="AF89" s="4">
        <v>604127400</v>
      </c>
      <c r="AG89" s="4">
        <v>701718900</v>
      </c>
      <c r="AH89" s="4">
        <v>1021535800</v>
      </c>
      <c r="AI89" s="4">
        <v>1024817100</v>
      </c>
      <c r="AJ89" s="4">
        <v>864602300</v>
      </c>
      <c r="AK89" s="4">
        <v>783102900</v>
      </c>
      <c r="AL89" s="4">
        <v>885613700</v>
      </c>
      <c r="AM89" s="4">
        <v>842121000</v>
      </c>
      <c r="AN89" s="4">
        <v>1040575300</v>
      </c>
      <c r="AO89" s="4">
        <v>1320860500</v>
      </c>
      <c r="AP89" s="4">
        <v>720857800</v>
      </c>
      <c r="AQ89" s="4">
        <v>837182000</v>
      </c>
      <c r="AR89" s="4">
        <v>1107623100</v>
      </c>
      <c r="AS89" s="4">
        <v>806559100</v>
      </c>
      <c r="AT89" s="4">
        <v>941225550</v>
      </c>
      <c r="AU89" s="4">
        <v>968318600</v>
      </c>
      <c r="AV89" s="4">
        <v>933511700</v>
      </c>
      <c r="AW89" s="4">
        <v>814192600</v>
      </c>
      <c r="AX89" s="4">
        <v>892373900</v>
      </c>
      <c r="AY89" s="4">
        <v>868408000</v>
      </c>
      <c r="AZ89" s="4">
        <v>1076174200</v>
      </c>
      <c r="BA89" s="4">
        <v>1367271200</v>
      </c>
      <c r="BB89" s="4">
        <v>729917300</v>
      </c>
      <c r="BC89" s="4">
        <v>1042166000</v>
      </c>
      <c r="BD89" s="4">
        <v>829257400</v>
      </c>
      <c r="BE89" s="4">
        <v>865436800</v>
      </c>
      <c r="BF89" s="4">
        <v>1124086200</v>
      </c>
      <c r="BG89" s="4">
        <v>1079628500</v>
      </c>
      <c r="BH89" s="4">
        <v>978131500</v>
      </c>
      <c r="BI89" s="4">
        <v>904462500</v>
      </c>
      <c r="BJ89" s="4">
        <v>1024705000</v>
      </c>
      <c r="BK89" s="4">
        <v>930243400</v>
      </c>
      <c r="BL89" s="4">
        <v>1171301300</v>
      </c>
    </row>
    <row r="90" spans="1:64" x14ac:dyDescent="0.25">
      <c r="A90" s="1">
        <v>42</v>
      </c>
      <c r="B90" s="3" t="s">
        <v>59</v>
      </c>
      <c r="C90" s="3" t="s">
        <v>60</v>
      </c>
      <c r="D90" s="3" t="s">
        <v>65</v>
      </c>
      <c r="E90" s="4">
        <v>2675339200</v>
      </c>
      <c r="F90" s="4">
        <v>2425652800</v>
      </c>
      <c r="G90" s="4">
        <v>2584445100</v>
      </c>
      <c r="H90" s="4">
        <v>2698795900</v>
      </c>
      <c r="I90" s="4">
        <v>2668990900</v>
      </c>
      <c r="J90" s="4">
        <v>2594863000</v>
      </c>
      <c r="K90" s="4">
        <v>2853719900</v>
      </c>
      <c r="L90" s="4">
        <v>2791359100</v>
      </c>
      <c r="M90" s="4">
        <v>2756993700</v>
      </c>
      <c r="N90" s="4">
        <v>2798139900</v>
      </c>
      <c r="O90" s="4">
        <v>2737942000</v>
      </c>
      <c r="P90" s="4">
        <v>2865309400</v>
      </c>
      <c r="Q90" s="4">
        <v>2868976900</v>
      </c>
      <c r="R90" s="4">
        <v>2604695100</v>
      </c>
      <c r="S90" s="4">
        <v>2577604600</v>
      </c>
      <c r="T90" s="4">
        <v>2900594200</v>
      </c>
      <c r="U90" s="4">
        <v>2935497600</v>
      </c>
      <c r="V90" s="4">
        <v>2884073100</v>
      </c>
      <c r="W90" s="4">
        <v>3051909400</v>
      </c>
      <c r="X90" s="4">
        <v>3121119000</v>
      </c>
      <c r="Y90" s="4">
        <v>2902410300</v>
      </c>
      <c r="Z90" s="4">
        <v>3066401000</v>
      </c>
      <c r="AA90" s="4">
        <v>2875509800</v>
      </c>
      <c r="AB90" s="4">
        <v>3003124100</v>
      </c>
      <c r="AC90" s="4">
        <v>3327483100</v>
      </c>
      <c r="AD90" s="4">
        <v>2997275200</v>
      </c>
      <c r="AE90" s="4">
        <v>3275832100</v>
      </c>
      <c r="AF90" s="4">
        <v>3093007700</v>
      </c>
      <c r="AG90" s="4">
        <v>3255562700</v>
      </c>
      <c r="AH90" s="4">
        <v>2847849100</v>
      </c>
      <c r="AI90" s="4">
        <v>2835463500</v>
      </c>
      <c r="AJ90" s="4">
        <v>3600457600</v>
      </c>
      <c r="AK90" s="4">
        <v>3237212700</v>
      </c>
      <c r="AL90" s="4">
        <v>3436143200</v>
      </c>
      <c r="AM90" s="4">
        <v>3377923000</v>
      </c>
      <c r="AN90" s="4">
        <v>3378960400</v>
      </c>
      <c r="AO90" s="4">
        <v>3415977300</v>
      </c>
      <c r="AP90" s="4">
        <v>3142910400</v>
      </c>
      <c r="AQ90" s="4">
        <v>3350933800</v>
      </c>
      <c r="AR90" s="4">
        <v>3330294300</v>
      </c>
      <c r="AS90" s="4">
        <v>2944960100</v>
      </c>
      <c r="AT90" s="4">
        <v>3412703000</v>
      </c>
      <c r="AU90" s="4">
        <v>3596779500</v>
      </c>
      <c r="AV90" s="4">
        <v>3382978100</v>
      </c>
      <c r="AW90" s="4">
        <v>3229057700</v>
      </c>
      <c r="AX90" s="4">
        <v>3356092500</v>
      </c>
      <c r="AY90" s="4">
        <v>3423605700</v>
      </c>
      <c r="AZ90" s="4">
        <v>3402845100</v>
      </c>
      <c r="BA90" s="4">
        <v>3484480200</v>
      </c>
      <c r="BB90" s="4">
        <v>3224558200</v>
      </c>
      <c r="BC90" s="4">
        <v>3444116600</v>
      </c>
      <c r="BD90" s="4">
        <v>3399880600</v>
      </c>
      <c r="BE90" s="4">
        <v>3358997900</v>
      </c>
      <c r="BF90" s="4">
        <v>3353897900</v>
      </c>
      <c r="BG90" s="4">
        <v>3547452100</v>
      </c>
      <c r="BH90" s="4">
        <v>3704075700</v>
      </c>
      <c r="BI90" s="4">
        <v>3407258100</v>
      </c>
      <c r="BJ90" s="4">
        <v>3579189900</v>
      </c>
      <c r="BK90" s="4">
        <v>0</v>
      </c>
      <c r="BL90" s="4">
        <v>0</v>
      </c>
    </row>
    <row r="91" spans="1:64" x14ac:dyDescent="0.25">
      <c r="A91" s="1">
        <v>81</v>
      </c>
      <c r="B91" s="3" t="s">
        <v>112</v>
      </c>
      <c r="C91" s="3" t="s">
        <v>113</v>
      </c>
      <c r="D91" s="3" t="s">
        <v>117</v>
      </c>
      <c r="E91" s="4">
        <v>2755341400</v>
      </c>
      <c r="F91" s="4">
        <v>2078174800</v>
      </c>
      <c r="G91" s="4">
        <v>2176287500</v>
      </c>
      <c r="H91" s="4">
        <v>2410184100</v>
      </c>
      <c r="I91" s="4">
        <v>2301616300</v>
      </c>
      <c r="J91" s="4">
        <v>2386424000</v>
      </c>
      <c r="K91" s="4">
        <v>2523562600</v>
      </c>
      <c r="L91" s="4">
        <v>2303971600</v>
      </c>
      <c r="M91" s="4">
        <v>2217784700</v>
      </c>
      <c r="N91" s="4">
        <v>2426474300</v>
      </c>
      <c r="O91" s="4">
        <v>2280953200</v>
      </c>
      <c r="P91" s="4">
        <v>2501837900</v>
      </c>
      <c r="Q91" s="4">
        <v>2700908300</v>
      </c>
      <c r="R91" s="4">
        <v>2300197800</v>
      </c>
      <c r="S91" s="4">
        <v>2491848800</v>
      </c>
      <c r="T91" s="4">
        <v>2507392900</v>
      </c>
      <c r="U91" s="4">
        <v>2508190200</v>
      </c>
      <c r="V91" s="4">
        <v>2505054700</v>
      </c>
      <c r="W91" s="4">
        <v>2805947900</v>
      </c>
      <c r="X91" s="4">
        <v>2690871400</v>
      </c>
      <c r="Y91" s="4">
        <v>2697649100</v>
      </c>
      <c r="Z91" s="4">
        <v>2821839100</v>
      </c>
      <c r="AA91" s="4">
        <v>2686924400</v>
      </c>
      <c r="AB91" s="4">
        <v>2957177400</v>
      </c>
      <c r="AC91" s="4">
        <v>3257141600</v>
      </c>
      <c r="AD91" s="4">
        <v>2652463500</v>
      </c>
      <c r="AE91" s="4">
        <v>2850505400</v>
      </c>
      <c r="AF91" s="4">
        <v>2690094300</v>
      </c>
      <c r="AG91" s="4">
        <v>2548158700</v>
      </c>
      <c r="AH91" s="4">
        <v>2550548400</v>
      </c>
      <c r="AI91" s="4">
        <v>2341787100</v>
      </c>
      <c r="AJ91" s="4">
        <v>2728462700</v>
      </c>
      <c r="AK91" s="4">
        <v>2571117800</v>
      </c>
      <c r="AL91" s="4">
        <v>2665293200</v>
      </c>
      <c r="AM91" s="4">
        <v>2651740600</v>
      </c>
      <c r="AN91" s="4">
        <v>2989292500</v>
      </c>
      <c r="AO91" s="4">
        <v>3406072100</v>
      </c>
      <c r="AP91" s="4">
        <v>2614997600</v>
      </c>
      <c r="AQ91" s="4">
        <v>2863700300</v>
      </c>
      <c r="AR91" s="4">
        <v>2972648400</v>
      </c>
      <c r="AS91" s="4">
        <v>2825286100</v>
      </c>
      <c r="AT91" s="4">
        <v>2880574300</v>
      </c>
      <c r="AU91" s="4">
        <v>2849340200</v>
      </c>
      <c r="AV91" s="4">
        <v>2873714400</v>
      </c>
      <c r="AW91" s="4">
        <v>2852240400</v>
      </c>
      <c r="AX91" s="4">
        <v>1988270500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</row>
    <row r="92" spans="1:64" x14ac:dyDescent="0.25">
      <c r="A92" s="1">
        <v>12</v>
      </c>
      <c r="B92" s="3" t="s">
        <v>17</v>
      </c>
      <c r="C92" s="3" t="s">
        <v>18</v>
      </c>
      <c r="D92" s="3" t="s">
        <v>19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>
        <v>6151722300</v>
      </c>
      <c r="AD92" s="4">
        <v>5060256600</v>
      </c>
      <c r="AE92" s="4">
        <v>5414160600</v>
      </c>
      <c r="AF92" s="4">
        <v>4787062400</v>
      </c>
      <c r="AG92" s="4">
        <v>4757354600</v>
      </c>
      <c r="AH92" s="4">
        <v>4686506700</v>
      </c>
      <c r="AI92" s="4">
        <v>4450845900</v>
      </c>
      <c r="AJ92" s="4">
        <v>4923661000</v>
      </c>
      <c r="AK92" s="4">
        <v>4778198800</v>
      </c>
      <c r="AL92" s="4">
        <v>4948709500</v>
      </c>
      <c r="AM92" s="4">
        <v>4876931300</v>
      </c>
      <c r="AN92" s="4">
        <v>5620365000</v>
      </c>
      <c r="AO92" s="4">
        <v>5614381700</v>
      </c>
      <c r="AP92" s="4">
        <v>4431196700</v>
      </c>
      <c r="AQ92" s="4">
        <v>5142887900</v>
      </c>
      <c r="AR92" s="4">
        <v>5161596100</v>
      </c>
      <c r="AS92" s="4">
        <v>4796724000</v>
      </c>
      <c r="AT92" s="4">
        <v>4763385500</v>
      </c>
      <c r="AU92" s="4">
        <v>4907730500</v>
      </c>
      <c r="AV92" s="4">
        <v>5231339300</v>
      </c>
      <c r="AW92" s="4">
        <v>4872098200</v>
      </c>
      <c r="AX92" s="4">
        <v>5221254300</v>
      </c>
      <c r="AY92" s="4">
        <v>5089617700</v>
      </c>
      <c r="AZ92" s="4">
        <v>5966037200</v>
      </c>
      <c r="BA92" s="4">
        <v>5846016700</v>
      </c>
      <c r="BB92" s="4">
        <v>4148017200</v>
      </c>
      <c r="BC92" s="4">
        <v>5174756700</v>
      </c>
      <c r="BD92" s="4">
        <v>4763734700</v>
      </c>
      <c r="BE92" s="4">
        <v>4568986800</v>
      </c>
      <c r="BF92" s="4">
        <v>4794435700</v>
      </c>
      <c r="BG92" s="4">
        <v>4804665900</v>
      </c>
      <c r="BH92" s="4">
        <v>4102835900</v>
      </c>
      <c r="BI92" s="4">
        <v>4277302600</v>
      </c>
      <c r="BJ92" s="4">
        <v>5158328700</v>
      </c>
      <c r="BK92" s="4">
        <v>5119970000</v>
      </c>
      <c r="BL92" s="4">
        <v>5920576500</v>
      </c>
    </row>
    <row r="93" spans="1:64" x14ac:dyDescent="0.25">
      <c r="A93" s="1">
        <v>36</v>
      </c>
      <c r="B93" s="3" t="s">
        <v>53</v>
      </c>
      <c r="C93" s="3" t="s">
        <v>54</v>
      </c>
      <c r="D93" s="3" t="s">
        <v>57</v>
      </c>
      <c r="E93" s="4">
        <v>1288700200</v>
      </c>
      <c r="F93" s="4">
        <v>837507800</v>
      </c>
      <c r="G93" s="4">
        <v>964402000</v>
      </c>
      <c r="H93" s="4">
        <v>971537200</v>
      </c>
      <c r="I93" s="4">
        <v>819703700</v>
      </c>
      <c r="J93" s="4">
        <v>945984300</v>
      </c>
      <c r="K93" s="4">
        <v>991699100</v>
      </c>
      <c r="L93" s="4">
        <v>999834300</v>
      </c>
      <c r="M93" s="4">
        <v>938083000</v>
      </c>
      <c r="N93" s="4">
        <v>910602900</v>
      </c>
      <c r="O93" s="4">
        <v>891644900</v>
      </c>
      <c r="P93" s="4">
        <v>1016347300</v>
      </c>
      <c r="Q93" s="4">
        <v>1223136500</v>
      </c>
      <c r="R93" s="4">
        <v>850387200</v>
      </c>
      <c r="S93" s="4">
        <v>941158900</v>
      </c>
      <c r="T93" s="4">
        <v>928725600</v>
      </c>
      <c r="U93" s="4">
        <v>952807400</v>
      </c>
      <c r="V93" s="4">
        <v>919030700</v>
      </c>
      <c r="W93" s="4">
        <v>915580900</v>
      </c>
      <c r="X93" s="4">
        <v>915215200</v>
      </c>
      <c r="Y93" s="4">
        <v>870155300</v>
      </c>
      <c r="Z93" s="4">
        <v>914374800</v>
      </c>
      <c r="AA93" s="4">
        <v>894583000</v>
      </c>
      <c r="AB93" s="4">
        <v>1123136900</v>
      </c>
      <c r="AC93" s="4">
        <v>1506060500</v>
      </c>
      <c r="AD93" s="4">
        <v>1028074100</v>
      </c>
      <c r="AE93" s="4">
        <v>1309454800</v>
      </c>
      <c r="AF93" s="4">
        <v>1044905200</v>
      </c>
      <c r="AG93" s="4">
        <v>1028635600</v>
      </c>
      <c r="AH93" s="4">
        <v>1091088800</v>
      </c>
      <c r="AI93" s="4">
        <v>1094996000</v>
      </c>
      <c r="AJ93" s="4">
        <v>1153804800</v>
      </c>
      <c r="AK93" s="4">
        <v>1061121100</v>
      </c>
      <c r="AL93" s="4">
        <v>1109666100</v>
      </c>
      <c r="AM93" s="4">
        <v>1162340400</v>
      </c>
      <c r="AN93" s="4">
        <v>1337612500</v>
      </c>
      <c r="AO93" s="4">
        <v>1674184900</v>
      </c>
      <c r="AP93" s="4">
        <v>1147453100</v>
      </c>
      <c r="AQ93" s="4">
        <v>1259993000</v>
      </c>
      <c r="AR93" s="4">
        <v>1306100700</v>
      </c>
      <c r="AS93" s="4">
        <v>1270918500</v>
      </c>
      <c r="AT93" s="4">
        <v>1284357600</v>
      </c>
      <c r="AU93" s="4">
        <v>1460220500</v>
      </c>
      <c r="AV93" s="4">
        <v>1227180800</v>
      </c>
      <c r="AW93" s="4">
        <v>1137648000</v>
      </c>
      <c r="AX93" s="4">
        <v>1428481000</v>
      </c>
      <c r="AY93" s="4">
        <v>1359347200</v>
      </c>
      <c r="AZ93" s="4">
        <v>1603521100</v>
      </c>
      <c r="BA93" s="4">
        <v>1913133300</v>
      </c>
      <c r="BB93" s="4">
        <v>1256051800</v>
      </c>
      <c r="BC93" s="4">
        <v>1653135600</v>
      </c>
      <c r="BD93" s="4">
        <v>1469468900</v>
      </c>
      <c r="BE93" s="4">
        <v>1409320300</v>
      </c>
      <c r="BF93" s="4">
        <v>1481512800</v>
      </c>
      <c r="BG93" s="4">
        <v>1788723200</v>
      </c>
      <c r="BH93" s="4">
        <v>1767100500</v>
      </c>
      <c r="BI93" s="4">
        <v>1553205700</v>
      </c>
      <c r="BJ93" s="4">
        <v>1593510900</v>
      </c>
      <c r="BK93" s="4">
        <v>1607886900</v>
      </c>
      <c r="BL93" s="4">
        <v>1785898100</v>
      </c>
    </row>
    <row r="94" spans="1:64" s="10" customFormat="1" x14ac:dyDescent="0.25">
      <c r="A94" s="8">
        <v>33</v>
      </c>
      <c r="B94" s="8" t="s">
        <v>48</v>
      </c>
      <c r="C94" s="8" t="s">
        <v>49</v>
      </c>
      <c r="D94" s="8" t="s">
        <v>52</v>
      </c>
      <c r="E94" s="11">
        <v>2119786600</v>
      </c>
      <c r="F94" s="11">
        <v>1762812850</v>
      </c>
      <c r="G94" s="11">
        <v>1768552150</v>
      </c>
      <c r="H94" s="11">
        <v>1872684850</v>
      </c>
      <c r="I94" s="11">
        <v>1607206850</v>
      </c>
      <c r="J94" s="11">
        <v>1974591850</v>
      </c>
      <c r="K94" s="11">
        <v>2067757550</v>
      </c>
      <c r="L94" s="11">
        <v>1837795350</v>
      </c>
      <c r="M94" s="11">
        <v>1740292100</v>
      </c>
      <c r="N94" s="11">
        <v>1865660250</v>
      </c>
      <c r="O94" s="11">
        <v>1854736800</v>
      </c>
      <c r="P94" s="11">
        <v>2053105200</v>
      </c>
      <c r="Q94" s="11">
        <v>2022431400</v>
      </c>
      <c r="R94" s="11">
        <v>1486760100</v>
      </c>
      <c r="S94" s="11">
        <v>1610309150</v>
      </c>
      <c r="T94" s="11">
        <v>1575295300</v>
      </c>
      <c r="U94" s="11">
        <v>1532092500</v>
      </c>
      <c r="V94" s="11">
        <v>1849083300</v>
      </c>
      <c r="W94" s="11">
        <v>1813975700</v>
      </c>
      <c r="X94" s="11">
        <v>1688543700</v>
      </c>
      <c r="Y94" s="11">
        <v>1605920200</v>
      </c>
      <c r="Z94" s="11">
        <v>1746867500</v>
      </c>
      <c r="AA94" s="11">
        <v>1679484300</v>
      </c>
      <c r="AB94" s="11">
        <v>1989180800</v>
      </c>
      <c r="AC94" s="11">
        <v>2001079550</v>
      </c>
      <c r="AD94" s="11">
        <v>1557645900</v>
      </c>
      <c r="AE94" s="11">
        <v>1790635900</v>
      </c>
      <c r="AF94" s="11">
        <v>1641735000</v>
      </c>
      <c r="AG94" s="11">
        <v>1779634100</v>
      </c>
      <c r="AH94" s="11">
        <v>657509100</v>
      </c>
      <c r="AI94" s="11">
        <v>1840742500</v>
      </c>
      <c r="AJ94" s="11">
        <v>1895569350</v>
      </c>
      <c r="AK94" s="11">
        <v>1777273900</v>
      </c>
      <c r="AL94" s="11">
        <v>1944191550</v>
      </c>
      <c r="AM94" s="11">
        <v>1895418400</v>
      </c>
      <c r="AN94" s="11">
        <v>2179109650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</row>
    <row r="95" spans="1:64" s="10" customFormat="1" x14ac:dyDescent="0.25">
      <c r="A95" s="8">
        <v>136</v>
      </c>
      <c r="B95" s="8" t="s">
        <v>199</v>
      </c>
      <c r="C95" s="8" t="s">
        <v>200</v>
      </c>
      <c r="D95" s="8" t="s">
        <v>52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657509100</v>
      </c>
      <c r="AI95" s="11">
        <v>1840742500</v>
      </c>
      <c r="AJ95" s="11">
        <v>1895569350</v>
      </c>
      <c r="AK95" s="11">
        <v>1777273900</v>
      </c>
      <c r="AL95" s="11">
        <v>1944191550</v>
      </c>
      <c r="AM95" s="11">
        <v>1895418400</v>
      </c>
      <c r="AN95" s="11">
        <v>2179109650</v>
      </c>
      <c r="AO95" s="11">
        <v>2167210500</v>
      </c>
      <c r="AP95" s="11">
        <v>1723983200</v>
      </c>
      <c r="AQ95" s="11">
        <v>1896397500</v>
      </c>
      <c r="AR95" s="11">
        <v>1978841000</v>
      </c>
      <c r="AS95" s="11">
        <v>1843133900</v>
      </c>
      <c r="AT95" s="11">
        <v>2104763800</v>
      </c>
      <c r="AU95" s="11">
        <v>2172916650</v>
      </c>
      <c r="AV95" s="11">
        <v>2029676150</v>
      </c>
      <c r="AW95" s="11">
        <v>1872003150</v>
      </c>
      <c r="AX95" s="11">
        <v>2105333350</v>
      </c>
      <c r="AY95" s="11">
        <v>2019520300</v>
      </c>
      <c r="AZ95" s="11">
        <v>2416130550</v>
      </c>
      <c r="BA95" s="11">
        <v>2430152050</v>
      </c>
      <c r="BB95" s="11">
        <v>1914913100</v>
      </c>
      <c r="BC95" s="11">
        <v>2337416650</v>
      </c>
      <c r="BD95" s="11">
        <v>2114081600</v>
      </c>
      <c r="BE95" s="11">
        <v>2133371950</v>
      </c>
      <c r="BF95" s="11">
        <v>2306387950</v>
      </c>
      <c r="BG95" s="11">
        <v>2374300200</v>
      </c>
      <c r="BH95" s="11">
        <v>2250838700</v>
      </c>
      <c r="BI95" s="11">
        <v>2102632000</v>
      </c>
      <c r="BJ95" s="11">
        <v>2381275250</v>
      </c>
      <c r="BK95" s="11">
        <v>2330950600</v>
      </c>
      <c r="BL95" s="11">
        <v>2720462000</v>
      </c>
    </row>
    <row r="96" spans="1:64" s="10" customFormat="1" x14ac:dyDescent="0.25">
      <c r="A96" s="8">
        <v>28</v>
      </c>
      <c r="B96" s="8" t="s">
        <v>41</v>
      </c>
      <c r="C96" s="8" t="s">
        <v>42</v>
      </c>
      <c r="D96" s="8" t="s">
        <v>45</v>
      </c>
      <c r="E96" s="11">
        <v>2767537050</v>
      </c>
      <c r="F96" s="11">
        <v>2070536700</v>
      </c>
      <c r="G96" s="11">
        <v>2387088100</v>
      </c>
      <c r="H96" s="11">
        <v>2515867900</v>
      </c>
      <c r="I96" s="11">
        <v>2544618500</v>
      </c>
      <c r="J96" s="11">
        <v>2518670700</v>
      </c>
      <c r="K96" s="11">
        <v>2679235050</v>
      </c>
      <c r="L96" s="11">
        <v>2711239800</v>
      </c>
      <c r="M96" s="11">
        <v>2707582600</v>
      </c>
      <c r="N96" s="11">
        <v>2888266150</v>
      </c>
      <c r="O96" s="11">
        <v>2655124500</v>
      </c>
      <c r="P96" s="11">
        <v>3051867450</v>
      </c>
      <c r="Q96" s="11">
        <v>3169494500</v>
      </c>
      <c r="R96" s="11">
        <v>2493550600</v>
      </c>
      <c r="S96" s="11">
        <v>2743438550</v>
      </c>
      <c r="T96" s="11">
        <v>2605764600</v>
      </c>
      <c r="U96" s="11">
        <v>2679763500</v>
      </c>
      <c r="V96" s="11">
        <v>672674200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0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</row>
    <row r="97" spans="1:64" s="10" customFormat="1" x14ac:dyDescent="0.25">
      <c r="A97" s="8">
        <v>132</v>
      </c>
      <c r="B97" s="8" t="s">
        <v>195</v>
      </c>
      <c r="C97" s="8" t="s">
        <v>196</v>
      </c>
      <c r="D97" s="8" t="s">
        <v>45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2133787850</v>
      </c>
      <c r="W97" s="11">
        <v>3078817150</v>
      </c>
      <c r="X97" s="11">
        <v>2990970250</v>
      </c>
      <c r="Y97" s="11">
        <v>2922816650</v>
      </c>
      <c r="Z97" s="11">
        <v>3126789700</v>
      </c>
      <c r="AA97" s="11">
        <v>2871612300</v>
      </c>
      <c r="AB97" s="11">
        <v>3330799800</v>
      </c>
      <c r="AC97" s="11">
        <v>3347278900</v>
      </c>
      <c r="AD97" s="11">
        <v>2683015050</v>
      </c>
      <c r="AE97" s="11">
        <v>2881383900</v>
      </c>
      <c r="AF97" s="11">
        <v>2591092800</v>
      </c>
      <c r="AG97" s="11">
        <v>2696249450</v>
      </c>
      <c r="AH97" s="11">
        <v>2671632250</v>
      </c>
      <c r="AI97" s="11">
        <v>2606323000</v>
      </c>
      <c r="AJ97" s="11">
        <v>2727102100</v>
      </c>
      <c r="AK97" s="11">
        <v>2557918550</v>
      </c>
      <c r="AL97" s="11">
        <v>2802626650</v>
      </c>
      <c r="AM97" s="11">
        <v>2786812750</v>
      </c>
      <c r="AN97" s="11">
        <v>3112532400</v>
      </c>
      <c r="AO97" s="11">
        <v>3332072650</v>
      </c>
      <c r="AP97" s="11">
        <v>2720063500</v>
      </c>
      <c r="AQ97" s="11">
        <v>2994432300</v>
      </c>
      <c r="AR97" s="11">
        <v>2916701350</v>
      </c>
      <c r="AS97" s="11">
        <v>2826455650</v>
      </c>
      <c r="AT97" s="11">
        <v>2616521400</v>
      </c>
      <c r="AU97" s="11">
        <v>2832452400</v>
      </c>
      <c r="AV97" s="11">
        <v>2976982100</v>
      </c>
      <c r="AW97" s="11">
        <v>2759051750</v>
      </c>
      <c r="AX97" s="11">
        <v>2934272150</v>
      </c>
      <c r="AY97" s="11">
        <v>2913321250</v>
      </c>
      <c r="AZ97" s="11">
        <v>3257351000</v>
      </c>
      <c r="BA97" s="11">
        <v>3319209450</v>
      </c>
      <c r="BB97" s="11">
        <v>2419350100</v>
      </c>
      <c r="BC97" s="11">
        <v>2937588800</v>
      </c>
      <c r="BD97" s="11">
        <v>2762345050</v>
      </c>
      <c r="BE97" s="11">
        <v>2823569500</v>
      </c>
      <c r="BF97" s="11">
        <v>2829360200</v>
      </c>
      <c r="BG97" s="11">
        <v>3033999550</v>
      </c>
      <c r="BH97" s="11">
        <v>2870923850</v>
      </c>
      <c r="BI97" s="11">
        <v>2977876700</v>
      </c>
      <c r="BJ97" s="11">
        <v>3221020600</v>
      </c>
      <c r="BK97" s="11">
        <v>3190446000</v>
      </c>
      <c r="BL97" s="11">
        <v>3570245400</v>
      </c>
    </row>
    <row r="98" spans="1:64" x14ac:dyDescent="0.25">
      <c r="A98" s="1">
        <v>155</v>
      </c>
      <c r="B98" s="3" t="s">
        <v>228</v>
      </c>
      <c r="C98" s="3" t="s">
        <v>229</v>
      </c>
      <c r="D98" s="3" t="s">
        <v>233</v>
      </c>
      <c r="E98" s="4">
        <v>1340549900</v>
      </c>
      <c r="F98" s="4">
        <v>933495000</v>
      </c>
      <c r="G98" s="4">
        <v>960876300</v>
      </c>
      <c r="H98" s="4">
        <v>1115492450</v>
      </c>
      <c r="I98" s="4">
        <v>1587141150</v>
      </c>
      <c r="J98" s="4">
        <v>1205957750</v>
      </c>
      <c r="K98" s="4">
        <v>1079141200</v>
      </c>
      <c r="L98" s="4">
        <v>1032419600</v>
      </c>
      <c r="M98" s="4">
        <v>970009850</v>
      </c>
      <c r="N98" s="4">
        <v>1108674450</v>
      </c>
      <c r="O98" s="4">
        <v>1180643900</v>
      </c>
      <c r="P98" s="4">
        <v>1254203700</v>
      </c>
      <c r="Q98" s="4">
        <v>1362479250</v>
      </c>
      <c r="R98" s="4">
        <v>940169800</v>
      </c>
      <c r="S98" s="4">
        <v>987395750</v>
      </c>
      <c r="T98" s="4">
        <v>1126894400</v>
      </c>
      <c r="U98" s="4">
        <v>1037384000</v>
      </c>
      <c r="V98" s="4">
        <v>1138804450</v>
      </c>
      <c r="W98" s="4">
        <v>1190684000</v>
      </c>
      <c r="X98" s="4">
        <v>1084676700</v>
      </c>
      <c r="Y98" s="4">
        <v>1033875500</v>
      </c>
      <c r="Z98" s="4">
        <v>1180711300</v>
      </c>
      <c r="AA98" s="4">
        <v>1110700050</v>
      </c>
      <c r="AB98" s="4">
        <v>1331265100</v>
      </c>
      <c r="AC98" s="4">
        <v>1442324300</v>
      </c>
      <c r="AD98" s="4">
        <v>998620400</v>
      </c>
      <c r="AE98" s="4">
        <v>1249988500</v>
      </c>
      <c r="AF98" s="4">
        <v>1004880600</v>
      </c>
      <c r="AG98" s="4">
        <v>1099647850</v>
      </c>
      <c r="AH98" s="4">
        <v>1025016400</v>
      </c>
      <c r="AI98" s="4">
        <v>887747350</v>
      </c>
      <c r="AJ98" s="4">
        <v>1159787900</v>
      </c>
      <c r="AK98" s="4">
        <v>1102602800</v>
      </c>
      <c r="AL98" s="4">
        <v>1216323800</v>
      </c>
      <c r="AM98" s="4">
        <v>1198786200</v>
      </c>
      <c r="AN98" s="4">
        <v>1411113950</v>
      </c>
      <c r="AO98" s="4">
        <v>1571536500</v>
      </c>
      <c r="AP98" s="4">
        <v>1079101200</v>
      </c>
      <c r="AQ98" s="4">
        <v>1188110800</v>
      </c>
      <c r="AR98" s="4">
        <v>1343976900</v>
      </c>
      <c r="AS98" s="4">
        <v>1180928100</v>
      </c>
      <c r="AT98" s="4">
        <v>1256759500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</row>
    <row r="99" spans="1:64" x14ac:dyDescent="0.25">
      <c r="A99" s="1">
        <v>82</v>
      </c>
      <c r="B99" s="3" t="s">
        <v>112</v>
      </c>
      <c r="C99" s="3" t="s">
        <v>113</v>
      </c>
      <c r="D99" s="3" t="s">
        <v>118</v>
      </c>
      <c r="E99" s="4">
        <v>2592663650</v>
      </c>
      <c r="F99" s="4">
        <v>1918354350</v>
      </c>
      <c r="G99" s="4">
        <v>1983401900</v>
      </c>
      <c r="H99" s="4">
        <v>2223393000</v>
      </c>
      <c r="I99" s="4">
        <v>2082429550</v>
      </c>
      <c r="J99" s="4">
        <v>2210199400</v>
      </c>
      <c r="K99" s="4">
        <v>2372650250</v>
      </c>
      <c r="L99" s="4">
        <v>2123221350</v>
      </c>
      <c r="M99" s="4">
        <v>2043849400</v>
      </c>
      <c r="N99" s="4">
        <v>2230486700</v>
      </c>
      <c r="O99" s="4">
        <v>2083206700</v>
      </c>
      <c r="P99" s="4">
        <v>2229706300</v>
      </c>
      <c r="Q99" s="4">
        <v>2553257800</v>
      </c>
      <c r="R99" s="4">
        <v>2152953800</v>
      </c>
      <c r="S99" s="4">
        <v>2283116500</v>
      </c>
      <c r="T99" s="4">
        <v>2302011200</v>
      </c>
      <c r="U99" s="4">
        <v>2273962150</v>
      </c>
      <c r="V99" s="4">
        <v>2231195050</v>
      </c>
      <c r="W99" s="4">
        <v>2477161150</v>
      </c>
      <c r="X99" s="4">
        <v>2388343750</v>
      </c>
      <c r="Y99" s="4">
        <v>2376125750</v>
      </c>
      <c r="Z99" s="4">
        <v>2611385800</v>
      </c>
      <c r="AA99" s="4">
        <v>2517949250</v>
      </c>
      <c r="AB99" s="4">
        <v>2714388450</v>
      </c>
      <c r="AC99" s="4">
        <v>3101212200</v>
      </c>
      <c r="AD99" s="4">
        <v>2462828900</v>
      </c>
      <c r="AE99" s="4">
        <v>2737804300</v>
      </c>
      <c r="AF99" s="4">
        <v>2577868900</v>
      </c>
      <c r="AG99" s="4">
        <v>2471688000</v>
      </c>
      <c r="AH99" s="4">
        <v>2435611300</v>
      </c>
      <c r="AI99" s="4">
        <v>2204545900</v>
      </c>
      <c r="AJ99" s="4">
        <v>2648774000</v>
      </c>
      <c r="AK99" s="4">
        <v>2505795000</v>
      </c>
      <c r="AL99" s="4">
        <v>2621567700</v>
      </c>
      <c r="AM99" s="4">
        <v>2605483800</v>
      </c>
      <c r="AN99" s="4">
        <v>2903656000</v>
      </c>
      <c r="AO99" s="4">
        <v>3301071900</v>
      </c>
      <c r="AP99" s="4">
        <v>2485962900</v>
      </c>
      <c r="AQ99" s="4">
        <v>2689830600</v>
      </c>
      <c r="AR99" s="4">
        <v>2809776300</v>
      </c>
      <c r="AS99" s="4">
        <v>2662849400</v>
      </c>
      <c r="AT99" s="4">
        <v>2750311900</v>
      </c>
      <c r="AU99" s="4">
        <v>2719216800</v>
      </c>
      <c r="AV99" s="4">
        <v>2738032800</v>
      </c>
      <c r="AW99" s="4">
        <v>2706372700</v>
      </c>
      <c r="AX99" s="4">
        <v>1899992800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</row>
    <row r="100" spans="1:64" x14ac:dyDescent="0.25">
      <c r="A100" s="1">
        <v>107</v>
      </c>
      <c r="B100" s="3" t="s">
        <v>166</v>
      </c>
      <c r="C100" s="3" t="s">
        <v>167</v>
      </c>
      <c r="D100" s="3" t="s">
        <v>168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1773989500</v>
      </c>
      <c r="AJ100" s="4">
        <v>1684191400</v>
      </c>
      <c r="AK100" s="4">
        <v>1566355200</v>
      </c>
      <c r="AL100" s="4">
        <v>1801628300</v>
      </c>
      <c r="AM100" s="4">
        <v>1639931100</v>
      </c>
      <c r="AN100" s="4">
        <v>1751298372</v>
      </c>
      <c r="AO100" s="4">
        <v>2292398450</v>
      </c>
      <c r="AP100" s="4">
        <v>1595590300</v>
      </c>
      <c r="AQ100" s="4">
        <v>1752745500</v>
      </c>
      <c r="AR100" s="4">
        <v>1831072700</v>
      </c>
      <c r="AS100" s="4">
        <v>1742241300</v>
      </c>
      <c r="AT100" s="4">
        <v>1828865600</v>
      </c>
      <c r="AU100" s="4">
        <v>2007886900</v>
      </c>
      <c r="AV100" s="4">
        <v>1811144400</v>
      </c>
      <c r="AW100" s="4">
        <v>1669604500</v>
      </c>
      <c r="AX100" s="4">
        <v>1933224000</v>
      </c>
      <c r="AY100" s="4">
        <v>1918124700</v>
      </c>
      <c r="AZ100" s="4">
        <v>2248674700</v>
      </c>
      <c r="BA100" s="4">
        <v>2069127800</v>
      </c>
      <c r="BB100" s="4">
        <v>1665738300</v>
      </c>
      <c r="BC100" s="4">
        <v>2003782700</v>
      </c>
      <c r="BD100" s="4">
        <v>1830973500</v>
      </c>
      <c r="BE100" s="4">
        <v>2035593900</v>
      </c>
      <c r="BF100" s="4">
        <v>2574916900</v>
      </c>
      <c r="BG100" s="4">
        <v>2274093700</v>
      </c>
      <c r="BH100" s="4">
        <v>1919259700</v>
      </c>
      <c r="BI100" s="4">
        <v>1902985700</v>
      </c>
      <c r="BJ100" s="4">
        <v>2058098800</v>
      </c>
      <c r="BK100" s="4">
        <v>2002961500</v>
      </c>
      <c r="BL100" s="4">
        <v>2386973300</v>
      </c>
    </row>
    <row r="101" spans="1:64" x14ac:dyDescent="0.25">
      <c r="A101" s="1">
        <v>15</v>
      </c>
      <c r="B101" s="3" t="s">
        <v>21</v>
      </c>
      <c r="C101" s="3" t="s">
        <v>22</v>
      </c>
      <c r="D101" s="3" t="s">
        <v>24</v>
      </c>
      <c r="E101" s="4">
        <v>253995100</v>
      </c>
      <c r="F101" s="4">
        <v>286721600</v>
      </c>
      <c r="G101" s="4">
        <v>287865800</v>
      </c>
      <c r="H101" s="4">
        <v>242131000</v>
      </c>
      <c r="I101" s="4">
        <v>269006300</v>
      </c>
      <c r="J101" s="4">
        <v>197869400</v>
      </c>
      <c r="K101" s="4">
        <v>226344400</v>
      </c>
      <c r="L101" s="4">
        <v>182606000</v>
      </c>
      <c r="M101" s="4">
        <v>221300000</v>
      </c>
      <c r="N101" s="4">
        <v>234090700</v>
      </c>
      <c r="O101" s="4">
        <v>224866800</v>
      </c>
      <c r="P101" s="4">
        <v>238936200</v>
      </c>
      <c r="Q101" s="4">
        <v>252455800</v>
      </c>
      <c r="R101" s="4">
        <v>235380000</v>
      </c>
      <c r="S101" s="4">
        <v>219950800</v>
      </c>
      <c r="T101" s="4">
        <v>202342500</v>
      </c>
      <c r="U101" s="4">
        <v>242830600</v>
      </c>
      <c r="V101" s="4">
        <v>211088300</v>
      </c>
      <c r="W101" s="4">
        <v>224663100</v>
      </c>
      <c r="X101" s="4">
        <v>257781500</v>
      </c>
      <c r="Y101" s="4">
        <v>249477300</v>
      </c>
      <c r="Z101" s="4">
        <v>228596000</v>
      </c>
      <c r="AA101" s="4">
        <v>216901400</v>
      </c>
      <c r="AB101" s="4">
        <v>229796700</v>
      </c>
      <c r="AC101" s="4">
        <v>254689200</v>
      </c>
      <c r="AD101" s="4">
        <v>292430000</v>
      </c>
      <c r="AE101" s="4">
        <v>296898700</v>
      </c>
      <c r="AF101" s="4">
        <v>342115100</v>
      </c>
      <c r="AG101" s="4">
        <v>325282100</v>
      </c>
      <c r="AH101" s="4">
        <v>290663500</v>
      </c>
      <c r="AI101" s="4">
        <v>240833600</v>
      </c>
      <c r="AJ101" s="4">
        <v>289476500</v>
      </c>
      <c r="AK101" s="4">
        <v>320099800</v>
      </c>
      <c r="AL101" s="4">
        <v>266292800</v>
      </c>
      <c r="AM101" s="4">
        <v>218826300</v>
      </c>
      <c r="AN101" s="4">
        <v>215590600</v>
      </c>
      <c r="AO101" s="4">
        <v>241938300</v>
      </c>
      <c r="AP101" s="4">
        <v>215865000</v>
      </c>
      <c r="AQ101" s="4">
        <v>302737300</v>
      </c>
      <c r="AR101" s="4">
        <v>257696900</v>
      </c>
      <c r="AS101" s="4">
        <v>273345500</v>
      </c>
      <c r="AT101" s="4">
        <v>254907900</v>
      </c>
      <c r="AU101" s="4">
        <v>219897100</v>
      </c>
      <c r="AV101" s="4">
        <v>225192700</v>
      </c>
      <c r="AW101" s="4">
        <v>285399100</v>
      </c>
      <c r="AX101" s="4">
        <v>315842600</v>
      </c>
      <c r="AY101" s="4">
        <v>334689800</v>
      </c>
      <c r="AZ101" s="4">
        <v>297512300</v>
      </c>
      <c r="BA101" s="4">
        <v>281343700</v>
      </c>
      <c r="BB101" s="4">
        <v>284232500</v>
      </c>
      <c r="BC101" s="4">
        <v>349278600</v>
      </c>
      <c r="BD101" s="4">
        <v>512236200</v>
      </c>
      <c r="BE101" s="4">
        <v>546659200</v>
      </c>
      <c r="BF101" s="4">
        <v>414212000</v>
      </c>
      <c r="BG101" s="4">
        <v>462603000</v>
      </c>
      <c r="BH101" s="4">
        <v>517189500</v>
      </c>
      <c r="BI101" s="4">
        <v>450919200</v>
      </c>
      <c r="BJ101" s="4">
        <v>482776500</v>
      </c>
      <c r="BK101" s="4">
        <v>452290800</v>
      </c>
      <c r="BL101" s="4">
        <v>403928100</v>
      </c>
    </row>
    <row r="102" spans="1:64" x14ac:dyDescent="0.25">
      <c r="A102" s="1">
        <v>37</v>
      </c>
      <c r="B102" s="3" t="s">
        <v>53</v>
      </c>
      <c r="C102" s="3" t="s">
        <v>54</v>
      </c>
      <c r="D102" s="3" t="s">
        <v>58</v>
      </c>
      <c r="E102" s="4">
        <v>742291700</v>
      </c>
      <c r="F102" s="4">
        <v>491141100</v>
      </c>
      <c r="G102" s="4">
        <v>478576600</v>
      </c>
      <c r="H102" s="4">
        <v>546814400</v>
      </c>
      <c r="I102" s="4">
        <v>464311400</v>
      </c>
      <c r="J102" s="4">
        <v>492106900</v>
      </c>
      <c r="K102" s="4">
        <v>550165700</v>
      </c>
      <c r="L102" s="4">
        <v>523630200</v>
      </c>
      <c r="M102" s="4">
        <v>512144800</v>
      </c>
      <c r="N102" s="4">
        <v>585851800</v>
      </c>
      <c r="O102" s="4">
        <v>621927500</v>
      </c>
      <c r="P102" s="4">
        <v>658549200</v>
      </c>
      <c r="Q102" s="4">
        <v>558706700</v>
      </c>
      <c r="R102" s="4">
        <v>499204100</v>
      </c>
      <c r="S102" s="4">
        <v>550782700</v>
      </c>
      <c r="T102" s="4">
        <v>519961000</v>
      </c>
      <c r="U102" s="4">
        <v>556566200</v>
      </c>
      <c r="V102" s="4">
        <v>559566400</v>
      </c>
      <c r="W102" s="4">
        <v>608855800</v>
      </c>
      <c r="X102" s="4">
        <v>526403800</v>
      </c>
      <c r="Y102" s="4">
        <v>219198100</v>
      </c>
      <c r="Z102" s="4">
        <v>156341400</v>
      </c>
      <c r="AA102" s="4">
        <v>161887700</v>
      </c>
      <c r="AB102" s="4">
        <v>206801400</v>
      </c>
      <c r="AC102" s="4">
        <v>186677300</v>
      </c>
      <c r="AD102" s="4">
        <v>190979600</v>
      </c>
      <c r="AE102" s="4">
        <v>223190100</v>
      </c>
      <c r="AF102" s="4">
        <v>216528000</v>
      </c>
      <c r="AG102" s="4">
        <v>231410200</v>
      </c>
      <c r="AH102" s="4">
        <v>231314700</v>
      </c>
      <c r="AI102" s="4">
        <v>291797000</v>
      </c>
      <c r="AJ102" s="4">
        <v>321863000</v>
      </c>
      <c r="AK102" s="4">
        <v>354995400</v>
      </c>
      <c r="AL102" s="4">
        <v>398752800</v>
      </c>
      <c r="AM102" s="4">
        <v>412637000</v>
      </c>
      <c r="AN102" s="4">
        <v>451896000</v>
      </c>
      <c r="AO102" s="4">
        <v>459007000</v>
      </c>
      <c r="AP102" s="4">
        <v>431943900</v>
      </c>
      <c r="AQ102" s="4">
        <v>454939800</v>
      </c>
      <c r="AR102" s="4">
        <v>427687100</v>
      </c>
      <c r="AS102" s="4">
        <v>438019300</v>
      </c>
      <c r="AT102" s="4">
        <v>447881800</v>
      </c>
      <c r="AU102" s="4">
        <v>545389400</v>
      </c>
      <c r="AV102" s="4">
        <v>613512600</v>
      </c>
      <c r="AW102" s="4">
        <v>564302600</v>
      </c>
      <c r="AX102" s="4">
        <v>621009800</v>
      </c>
      <c r="AY102" s="4">
        <v>592278500</v>
      </c>
      <c r="AZ102" s="4">
        <v>724315300</v>
      </c>
      <c r="BA102" s="4">
        <v>642321300</v>
      </c>
      <c r="BB102" s="4">
        <v>499952000</v>
      </c>
      <c r="BC102" s="4">
        <v>440557400</v>
      </c>
      <c r="BD102" s="4">
        <v>457249300</v>
      </c>
      <c r="BE102" s="4">
        <v>418981000</v>
      </c>
      <c r="BF102" s="4">
        <v>401325600</v>
      </c>
      <c r="BG102" s="4">
        <v>481556200</v>
      </c>
      <c r="BH102" s="4">
        <v>471584600</v>
      </c>
      <c r="BI102" s="4">
        <v>482367500</v>
      </c>
      <c r="BJ102" s="4">
        <v>508015500</v>
      </c>
      <c r="BK102" s="4">
        <v>510857900</v>
      </c>
      <c r="BL102" s="4">
        <v>697267200</v>
      </c>
    </row>
    <row r="103" spans="1:64" x14ac:dyDescent="0.25">
      <c r="A103" s="1">
        <v>73</v>
      </c>
      <c r="B103" s="3" t="s">
        <v>100</v>
      </c>
      <c r="C103" s="3" t="s">
        <v>101</v>
      </c>
      <c r="D103" s="3" t="s">
        <v>105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1597531800</v>
      </c>
      <c r="AR103" s="4">
        <v>1646356650</v>
      </c>
      <c r="AS103" s="4">
        <v>1633709400</v>
      </c>
      <c r="AT103" s="4">
        <v>1670252400</v>
      </c>
      <c r="AU103" s="4">
        <v>1671451500</v>
      </c>
      <c r="AV103" s="4">
        <v>1632249100</v>
      </c>
      <c r="AW103" s="4">
        <v>1573254500</v>
      </c>
      <c r="AX103" s="4">
        <v>1599610900</v>
      </c>
      <c r="AY103" s="4">
        <v>1597813300</v>
      </c>
      <c r="AZ103" s="4">
        <v>1680567900</v>
      </c>
      <c r="BA103" s="4">
        <v>1736356900</v>
      </c>
      <c r="BB103" s="4">
        <v>1518775300</v>
      </c>
      <c r="BC103" s="4">
        <v>1705616600</v>
      </c>
      <c r="BD103" s="4">
        <v>1649429900</v>
      </c>
      <c r="BE103" s="4">
        <v>1583409800</v>
      </c>
      <c r="BF103" s="4">
        <v>1577777200</v>
      </c>
      <c r="BG103" s="4">
        <v>1641510400</v>
      </c>
      <c r="BH103" s="4">
        <v>1712304200</v>
      </c>
      <c r="BI103" s="4">
        <v>1642926600</v>
      </c>
      <c r="BJ103" s="4">
        <v>1721432400</v>
      </c>
      <c r="BK103" s="4">
        <v>1662502100</v>
      </c>
      <c r="BL103" s="4">
        <v>1746644900</v>
      </c>
    </row>
    <row r="104" spans="1:64" x14ac:dyDescent="0.25">
      <c r="A104" s="1">
        <v>43</v>
      </c>
      <c r="B104" s="3" t="s">
        <v>59</v>
      </c>
      <c r="C104" s="3" t="s">
        <v>60</v>
      </c>
      <c r="D104" s="3" t="s">
        <v>66</v>
      </c>
      <c r="E104" s="4">
        <v>267986100</v>
      </c>
      <c r="F104" s="4">
        <v>233154200</v>
      </c>
      <c r="G104" s="4">
        <v>255262200</v>
      </c>
      <c r="H104" s="4">
        <v>245427800</v>
      </c>
      <c r="I104" s="4">
        <v>318688200</v>
      </c>
      <c r="J104" s="4">
        <v>255848000</v>
      </c>
      <c r="K104" s="4">
        <v>266170100</v>
      </c>
      <c r="L104" s="4">
        <v>236612200</v>
      </c>
      <c r="M104" s="4">
        <v>304219800</v>
      </c>
      <c r="N104" s="4">
        <v>273029300</v>
      </c>
      <c r="O104" s="4">
        <v>247540100</v>
      </c>
      <c r="P104" s="4">
        <v>298628000</v>
      </c>
      <c r="Q104" s="4">
        <v>289410800</v>
      </c>
      <c r="R104" s="4">
        <v>257389200</v>
      </c>
      <c r="S104" s="4">
        <v>332344400</v>
      </c>
      <c r="T104" s="4">
        <v>254452300</v>
      </c>
      <c r="U104" s="4">
        <v>296351100</v>
      </c>
      <c r="V104" s="4">
        <v>302583300</v>
      </c>
      <c r="W104" s="4">
        <v>342547100</v>
      </c>
      <c r="X104" s="4">
        <v>268607400</v>
      </c>
      <c r="Y104" s="4">
        <v>327261000</v>
      </c>
      <c r="Z104" s="4">
        <v>334569000</v>
      </c>
      <c r="AA104" s="4">
        <v>372671900</v>
      </c>
      <c r="AB104" s="4">
        <v>397855100</v>
      </c>
      <c r="AC104" s="4">
        <v>314369500</v>
      </c>
      <c r="AD104" s="4">
        <v>313712000</v>
      </c>
      <c r="AE104" s="4">
        <v>338816400</v>
      </c>
      <c r="AF104" s="4">
        <v>315438000</v>
      </c>
      <c r="AG104" s="4">
        <v>355823300</v>
      </c>
      <c r="AH104" s="4">
        <v>348573200</v>
      </c>
      <c r="AI104" s="4">
        <v>426460800</v>
      </c>
      <c r="AJ104" s="4">
        <v>366722200</v>
      </c>
      <c r="AK104" s="4">
        <v>388232600</v>
      </c>
      <c r="AL104" s="4">
        <v>397802500</v>
      </c>
      <c r="AM104" s="4">
        <v>360679700</v>
      </c>
      <c r="AN104" s="4">
        <v>427903100</v>
      </c>
      <c r="AO104" s="4">
        <v>382332900</v>
      </c>
      <c r="AP104" s="4">
        <v>378850600</v>
      </c>
      <c r="AQ104" s="4">
        <v>389335100</v>
      </c>
      <c r="AR104" s="4">
        <v>388622300</v>
      </c>
      <c r="AS104" s="4">
        <v>390505000</v>
      </c>
      <c r="AT104" s="4">
        <v>399887000</v>
      </c>
      <c r="AU104" s="4">
        <v>457830300</v>
      </c>
      <c r="AV104" s="4">
        <v>398408600</v>
      </c>
      <c r="AW104" s="4">
        <v>405826200</v>
      </c>
      <c r="AX104" s="4">
        <v>452592600</v>
      </c>
      <c r="AY104" s="4">
        <v>444984100</v>
      </c>
      <c r="AZ104" s="4">
        <v>494689100</v>
      </c>
      <c r="BA104" s="4">
        <v>465461300</v>
      </c>
      <c r="BB104" s="4">
        <v>462022300</v>
      </c>
      <c r="BC104" s="4">
        <v>499995200</v>
      </c>
      <c r="BD104" s="4">
        <v>551514600</v>
      </c>
      <c r="BE104" s="4">
        <v>470090200</v>
      </c>
      <c r="BF104" s="4">
        <v>473722600</v>
      </c>
      <c r="BG104" s="4">
        <v>468112600</v>
      </c>
      <c r="BH104" s="4">
        <v>481942000</v>
      </c>
      <c r="BI104" s="4">
        <v>450834500</v>
      </c>
      <c r="BJ104" s="4">
        <v>494548200</v>
      </c>
      <c r="BK104" s="4">
        <v>0</v>
      </c>
      <c r="BL104" s="4">
        <v>0</v>
      </c>
    </row>
    <row r="105" spans="1:64" x14ac:dyDescent="0.25">
      <c r="A105" s="1">
        <v>142</v>
      </c>
      <c r="B105" s="3" t="s">
        <v>208</v>
      </c>
      <c r="C105" s="3" t="s">
        <v>209</v>
      </c>
      <c r="D105" s="3" t="s">
        <v>211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428323100</v>
      </c>
      <c r="Q105" s="4">
        <v>1003810350</v>
      </c>
      <c r="R105" s="4">
        <v>959533450</v>
      </c>
      <c r="S105" s="4">
        <v>1069226300</v>
      </c>
      <c r="T105" s="4">
        <v>977353000</v>
      </c>
      <c r="U105" s="4">
        <v>1105872400</v>
      </c>
      <c r="V105" s="4">
        <v>999603500</v>
      </c>
      <c r="W105" s="4">
        <v>999093050</v>
      </c>
      <c r="X105" s="4">
        <v>1073393250</v>
      </c>
      <c r="Y105" s="4">
        <v>1028670000</v>
      </c>
      <c r="Z105" s="4">
        <v>1074307600</v>
      </c>
      <c r="AA105" s="4">
        <v>1055776850</v>
      </c>
      <c r="AB105" s="4">
        <v>1138117500</v>
      </c>
      <c r="AC105" s="4">
        <v>1078544650</v>
      </c>
      <c r="AD105" s="4">
        <v>1060150050</v>
      </c>
      <c r="AE105" s="4">
        <v>1116714250</v>
      </c>
      <c r="AF105" s="4">
        <v>1113595050</v>
      </c>
      <c r="AG105" s="4">
        <v>1180269100</v>
      </c>
      <c r="AH105" s="4">
        <v>1135001900</v>
      </c>
      <c r="AI105" s="4">
        <v>1124097800</v>
      </c>
      <c r="AJ105" s="4">
        <v>1129424650</v>
      </c>
      <c r="AK105" s="4">
        <v>1121783050</v>
      </c>
      <c r="AL105" s="4">
        <v>1137202600</v>
      </c>
      <c r="AM105" s="4">
        <v>1098610300</v>
      </c>
      <c r="AN105" s="4">
        <v>1201833100</v>
      </c>
      <c r="AO105" s="4">
        <v>1122184350</v>
      </c>
      <c r="AP105" s="4">
        <v>1097254950</v>
      </c>
      <c r="AQ105" s="4">
        <v>1185279300</v>
      </c>
      <c r="AR105" s="4">
        <v>1147680950</v>
      </c>
      <c r="AS105" s="4">
        <v>1190679350</v>
      </c>
      <c r="AT105" s="4">
        <v>1120332450</v>
      </c>
      <c r="AU105" s="4">
        <v>1099673050</v>
      </c>
      <c r="AV105" s="4">
        <v>1144741000</v>
      </c>
      <c r="AW105" s="4">
        <v>1085334450</v>
      </c>
      <c r="AX105" s="4">
        <v>1078632350</v>
      </c>
      <c r="AY105" s="4">
        <v>1074176250</v>
      </c>
      <c r="AZ105" s="4">
        <v>1170612500</v>
      </c>
      <c r="BA105" s="4">
        <v>1086753000</v>
      </c>
      <c r="BB105" s="4">
        <v>1053416100</v>
      </c>
      <c r="BC105" s="4">
        <v>1186997350</v>
      </c>
      <c r="BD105" s="4">
        <v>1114683050</v>
      </c>
      <c r="BE105" s="4">
        <v>1144455700</v>
      </c>
      <c r="BF105" s="4">
        <v>1073172750</v>
      </c>
      <c r="BG105" s="4">
        <v>938544300</v>
      </c>
      <c r="BH105" s="4">
        <v>1014979900</v>
      </c>
      <c r="BI105" s="4">
        <v>1016188650</v>
      </c>
      <c r="BJ105" s="4">
        <v>1052101550</v>
      </c>
      <c r="BK105" s="4">
        <v>1099381250</v>
      </c>
      <c r="BL105" s="4">
        <v>1267051700</v>
      </c>
    </row>
    <row r="106" spans="1:64" x14ac:dyDescent="0.25">
      <c r="A106" s="1">
        <v>3</v>
      </c>
      <c r="B106" s="3" t="s">
        <v>4</v>
      </c>
      <c r="C106" s="3" t="s">
        <v>5</v>
      </c>
      <c r="D106" s="3" t="s">
        <v>8</v>
      </c>
      <c r="E106" s="4">
        <v>1078434800</v>
      </c>
      <c r="F106" s="4">
        <v>1005655600</v>
      </c>
      <c r="G106" s="4">
        <v>1114699800</v>
      </c>
      <c r="H106" s="4">
        <v>983377600</v>
      </c>
      <c r="I106" s="4">
        <v>914140000</v>
      </c>
      <c r="J106" s="4">
        <v>888155100</v>
      </c>
      <c r="K106" s="4">
        <v>976374700</v>
      </c>
      <c r="L106" s="4">
        <v>987212500</v>
      </c>
      <c r="M106" s="4">
        <v>927094400</v>
      </c>
      <c r="N106" s="4">
        <v>984906300</v>
      </c>
      <c r="O106" s="4">
        <v>951363300</v>
      </c>
      <c r="P106" s="4">
        <v>1094327200</v>
      </c>
      <c r="Q106" s="4">
        <v>1154335500</v>
      </c>
      <c r="R106" s="4">
        <v>951407900</v>
      </c>
      <c r="S106" s="4">
        <v>956737700</v>
      </c>
      <c r="T106" s="4">
        <v>1048220400</v>
      </c>
      <c r="U106" s="4">
        <v>1220957400</v>
      </c>
      <c r="V106" s="4">
        <v>1197443250</v>
      </c>
      <c r="W106" s="4">
        <v>1145059600</v>
      </c>
      <c r="X106" s="4">
        <v>1013091100</v>
      </c>
      <c r="Y106" s="4">
        <v>952059700</v>
      </c>
      <c r="Z106" s="4">
        <v>1026703400</v>
      </c>
      <c r="AA106" s="4">
        <v>985090200</v>
      </c>
      <c r="AB106" s="4">
        <v>1186135900</v>
      </c>
      <c r="AC106" s="4">
        <v>1263045800</v>
      </c>
      <c r="AD106" s="4">
        <v>927129900</v>
      </c>
      <c r="AE106" s="4">
        <v>1058280400</v>
      </c>
      <c r="AF106" s="4">
        <v>938313300</v>
      </c>
      <c r="AG106" s="4">
        <v>995875200</v>
      </c>
      <c r="AH106" s="4">
        <v>975504900</v>
      </c>
      <c r="AI106" s="4">
        <v>1056001800</v>
      </c>
      <c r="AJ106" s="4">
        <v>1077139200</v>
      </c>
      <c r="AK106" s="4">
        <v>1012797300</v>
      </c>
      <c r="AL106" s="4">
        <v>1126734400</v>
      </c>
      <c r="AM106" s="4">
        <v>1077655300</v>
      </c>
      <c r="AN106" s="4">
        <v>1237888500</v>
      </c>
      <c r="AO106" s="4">
        <v>1385248700</v>
      </c>
      <c r="AP106" s="4">
        <v>995191400</v>
      </c>
      <c r="AQ106" s="4">
        <v>1109603500</v>
      </c>
      <c r="AR106" s="4">
        <v>1159020000</v>
      </c>
      <c r="AS106" s="4">
        <v>1412587450</v>
      </c>
      <c r="AT106" s="4">
        <v>1167218200</v>
      </c>
      <c r="AU106" s="4">
        <v>1212620300</v>
      </c>
      <c r="AV106" s="4">
        <v>1221717800</v>
      </c>
      <c r="AW106" s="4">
        <v>1136001800</v>
      </c>
      <c r="AX106" s="4">
        <v>1246243300</v>
      </c>
      <c r="AY106" s="4">
        <v>1376032200</v>
      </c>
      <c r="AZ106" s="4">
        <v>1436268750</v>
      </c>
      <c r="BA106" s="4">
        <v>1575622400</v>
      </c>
      <c r="BB106" s="4">
        <v>1245886900</v>
      </c>
      <c r="BC106" s="4">
        <v>1380586900</v>
      </c>
      <c r="BD106" s="4">
        <v>1249898200</v>
      </c>
      <c r="BE106" s="4">
        <v>1309048100</v>
      </c>
      <c r="BF106" s="4">
        <v>1100823200</v>
      </c>
      <c r="BG106" s="4">
        <v>1376492200</v>
      </c>
      <c r="BH106" s="4">
        <v>1355024700</v>
      </c>
      <c r="BI106" s="4">
        <v>1209368600</v>
      </c>
      <c r="BJ106" s="4">
        <v>1316777650</v>
      </c>
      <c r="BK106" s="4">
        <v>1266961800</v>
      </c>
      <c r="BL106" s="4">
        <v>1449756600</v>
      </c>
    </row>
    <row r="107" spans="1:64" x14ac:dyDescent="0.25">
      <c r="A107" s="1">
        <v>13</v>
      </c>
      <c r="B107" s="3" t="s">
        <v>17</v>
      </c>
      <c r="C107" s="3" t="s">
        <v>18</v>
      </c>
      <c r="D107" s="3" t="s">
        <v>20</v>
      </c>
      <c r="E107" s="4">
        <v>7073246000</v>
      </c>
      <c r="F107" s="4">
        <v>5391308000</v>
      </c>
      <c r="G107" s="4">
        <v>6597354400</v>
      </c>
      <c r="H107" s="4">
        <v>7093294600</v>
      </c>
      <c r="I107" s="4">
        <v>6743925400</v>
      </c>
      <c r="J107" s="4">
        <v>6738791200</v>
      </c>
      <c r="K107" s="4">
        <v>6822294600</v>
      </c>
      <c r="L107" s="4">
        <v>6888588900</v>
      </c>
      <c r="M107" s="4">
        <v>6200564200</v>
      </c>
      <c r="N107" s="4">
        <v>6743103900</v>
      </c>
      <c r="O107" s="4">
        <v>6359337100</v>
      </c>
      <c r="P107" s="4">
        <v>7497444800</v>
      </c>
      <c r="Q107" s="4">
        <v>7254204800</v>
      </c>
      <c r="R107" s="4">
        <v>5620985000</v>
      </c>
      <c r="S107" s="4">
        <v>6282932900</v>
      </c>
      <c r="T107" s="4">
        <v>6416368500</v>
      </c>
      <c r="U107" s="4">
        <v>6550354500</v>
      </c>
      <c r="V107" s="4">
        <v>7182560900</v>
      </c>
      <c r="W107" s="4">
        <v>8022308800</v>
      </c>
      <c r="X107" s="4">
        <v>7843712100</v>
      </c>
      <c r="Y107" s="4">
        <v>7432801700</v>
      </c>
      <c r="Z107" s="4">
        <v>7965272600</v>
      </c>
      <c r="AA107" s="4">
        <v>7559951700</v>
      </c>
      <c r="AB107" s="4">
        <v>8714609400</v>
      </c>
      <c r="AC107" s="4">
        <v>8372611900</v>
      </c>
      <c r="AD107" s="4">
        <v>6619738600</v>
      </c>
      <c r="AE107" s="4">
        <v>7234529200</v>
      </c>
      <c r="AF107" s="4">
        <v>6196049300</v>
      </c>
      <c r="AG107" s="4">
        <v>6285601600</v>
      </c>
      <c r="AH107" s="4">
        <v>6273832600</v>
      </c>
      <c r="AI107" s="4">
        <v>6118412800</v>
      </c>
      <c r="AJ107" s="4">
        <v>6586463900</v>
      </c>
      <c r="AK107" s="4">
        <v>6369893100</v>
      </c>
      <c r="AL107" s="4">
        <v>6809738000</v>
      </c>
      <c r="AM107" s="4">
        <v>6670045700</v>
      </c>
      <c r="AN107" s="4">
        <v>7830049400</v>
      </c>
      <c r="AO107" s="4">
        <v>7947097400</v>
      </c>
      <c r="AP107" s="4">
        <v>6027843200</v>
      </c>
      <c r="AQ107" s="4">
        <v>7043825700</v>
      </c>
      <c r="AR107" s="4">
        <v>7222426400</v>
      </c>
      <c r="AS107" s="4">
        <v>6622541700</v>
      </c>
      <c r="AT107" s="4">
        <v>6590708400</v>
      </c>
      <c r="AU107" s="4">
        <v>6757223900</v>
      </c>
      <c r="AV107" s="4">
        <v>7236455600</v>
      </c>
      <c r="AW107" s="4">
        <v>6674712800</v>
      </c>
      <c r="AX107" s="4">
        <v>7266656300</v>
      </c>
      <c r="AY107" s="4">
        <v>7073070600</v>
      </c>
      <c r="AZ107" s="4">
        <v>8502040800</v>
      </c>
      <c r="BA107" s="4">
        <v>8434691000</v>
      </c>
      <c r="BB107" s="4">
        <v>5799501200</v>
      </c>
      <c r="BC107" s="4">
        <v>7417723200</v>
      </c>
      <c r="BD107" s="4">
        <v>6778766000</v>
      </c>
      <c r="BE107" s="4">
        <v>6459047100</v>
      </c>
      <c r="BF107" s="4">
        <v>6855322900</v>
      </c>
      <c r="BG107" s="4">
        <v>6813163200</v>
      </c>
      <c r="BH107" s="4">
        <v>5837177400</v>
      </c>
      <c r="BI107" s="4">
        <v>6116060100</v>
      </c>
      <c r="BJ107" s="4">
        <v>7444170500</v>
      </c>
      <c r="BK107" s="4">
        <v>7421157900</v>
      </c>
      <c r="BL107" s="4">
        <v>8611663500</v>
      </c>
    </row>
    <row r="108" spans="1:64" x14ac:dyDescent="0.25">
      <c r="A108" s="1">
        <v>83</v>
      </c>
      <c r="B108" s="3" t="s">
        <v>112</v>
      </c>
      <c r="C108" s="3" t="s">
        <v>113</v>
      </c>
      <c r="D108" s="3" t="s">
        <v>119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281973200</v>
      </c>
      <c r="U108" s="4">
        <v>549553300</v>
      </c>
      <c r="V108" s="4">
        <v>547348700</v>
      </c>
      <c r="W108" s="4">
        <v>563218800</v>
      </c>
      <c r="X108" s="4">
        <v>570479100</v>
      </c>
      <c r="Y108" s="4">
        <v>551405900</v>
      </c>
      <c r="Z108" s="4">
        <v>571466900</v>
      </c>
      <c r="AA108" s="4">
        <v>588749900</v>
      </c>
      <c r="AB108" s="4">
        <v>641844200</v>
      </c>
      <c r="AC108" s="4">
        <v>666300900</v>
      </c>
      <c r="AD108" s="4">
        <v>545371400</v>
      </c>
      <c r="AE108" s="4">
        <v>633657100</v>
      </c>
      <c r="AF108" s="4">
        <v>659543500</v>
      </c>
      <c r="AG108" s="4">
        <v>620052500</v>
      </c>
      <c r="AH108" s="4">
        <v>606806600</v>
      </c>
      <c r="AI108" s="4">
        <v>534863200</v>
      </c>
      <c r="AJ108" s="4">
        <v>674910100</v>
      </c>
      <c r="AK108" s="4">
        <v>592488500</v>
      </c>
      <c r="AL108" s="4">
        <v>661010800</v>
      </c>
      <c r="AM108" s="4">
        <v>651560900</v>
      </c>
      <c r="AN108" s="4">
        <v>691538300</v>
      </c>
      <c r="AO108" s="4">
        <v>696016500</v>
      </c>
      <c r="AP108" s="4">
        <v>571775600</v>
      </c>
      <c r="AQ108" s="4">
        <v>600920400</v>
      </c>
      <c r="AR108" s="4">
        <v>634047300</v>
      </c>
      <c r="AS108" s="4">
        <v>624979700</v>
      </c>
      <c r="AT108" s="4">
        <v>622617500</v>
      </c>
      <c r="AU108" s="4">
        <v>648185800</v>
      </c>
      <c r="AV108" s="4">
        <v>695406600</v>
      </c>
      <c r="AW108" s="4">
        <v>692969100</v>
      </c>
      <c r="AX108" s="4">
        <v>448143800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</row>
    <row r="109" spans="1:64" x14ac:dyDescent="0.25">
      <c r="A109" s="1">
        <v>74</v>
      </c>
      <c r="B109" s="3" t="s">
        <v>100</v>
      </c>
      <c r="C109" s="3" t="s">
        <v>101</v>
      </c>
      <c r="D109" s="3" t="s">
        <v>106</v>
      </c>
      <c r="E109" s="4">
        <v>1008496700</v>
      </c>
      <c r="F109" s="4">
        <v>849830900</v>
      </c>
      <c r="G109" s="4">
        <v>916805400</v>
      </c>
      <c r="H109" s="4">
        <v>1009642700</v>
      </c>
      <c r="I109" s="4">
        <v>1007409800</v>
      </c>
      <c r="J109" s="4">
        <v>949606700</v>
      </c>
      <c r="K109" s="4">
        <v>1007144200</v>
      </c>
      <c r="L109" s="4">
        <v>917849000</v>
      </c>
      <c r="M109" s="4">
        <v>873944800</v>
      </c>
      <c r="N109" s="4">
        <v>922667500</v>
      </c>
      <c r="O109" s="4">
        <v>905771600</v>
      </c>
      <c r="P109" s="4">
        <v>1044324600</v>
      </c>
      <c r="Q109" s="4">
        <v>742557300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</row>
    <row r="110" spans="1:64" x14ac:dyDescent="0.25">
      <c r="A110" s="1">
        <v>98</v>
      </c>
      <c r="B110" s="3" t="s">
        <v>143</v>
      </c>
      <c r="C110" s="3" t="s">
        <v>144</v>
      </c>
      <c r="D110" s="3" t="s">
        <v>146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1378862700</v>
      </c>
      <c r="P110" s="4">
        <v>1622328200</v>
      </c>
      <c r="Q110" s="4">
        <v>1693148200</v>
      </c>
      <c r="R110" s="4">
        <v>1243021500</v>
      </c>
      <c r="S110" s="4">
        <v>1287206100</v>
      </c>
      <c r="T110" s="4">
        <v>1464063500</v>
      </c>
      <c r="U110" s="4">
        <v>1401310700</v>
      </c>
      <c r="V110" s="4">
        <v>1605653600</v>
      </c>
      <c r="W110" s="4">
        <v>1563213700</v>
      </c>
      <c r="X110" s="4">
        <v>1573858500</v>
      </c>
      <c r="Y110" s="4">
        <v>1427684100</v>
      </c>
      <c r="Z110" s="4">
        <v>1565244300</v>
      </c>
      <c r="AA110" s="4">
        <v>1538016900</v>
      </c>
      <c r="AB110" s="4">
        <v>1796167000</v>
      </c>
      <c r="AC110" s="4">
        <v>1883315400</v>
      </c>
      <c r="AD110" s="4">
        <v>1407638200</v>
      </c>
      <c r="AE110" s="4">
        <v>1655287500</v>
      </c>
      <c r="AF110" s="4">
        <v>1280207000</v>
      </c>
      <c r="AG110" s="4">
        <v>1497498600</v>
      </c>
      <c r="AH110" s="4">
        <v>1334512800</v>
      </c>
      <c r="AI110" s="4">
        <v>1376061800</v>
      </c>
      <c r="AJ110" s="4">
        <v>1530565500</v>
      </c>
      <c r="AK110" s="4">
        <v>1333764700</v>
      </c>
      <c r="AL110" s="4">
        <v>1534149400</v>
      </c>
      <c r="AM110" s="4">
        <v>1599362100</v>
      </c>
      <c r="AN110" s="4">
        <v>1881920400</v>
      </c>
      <c r="AO110" s="4">
        <v>1995735900</v>
      </c>
      <c r="AP110" s="4">
        <v>1513470300</v>
      </c>
      <c r="AQ110" s="4">
        <v>1630429200</v>
      </c>
      <c r="AR110" s="4">
        <v>1759383000</v>
      </c>
      <c r="AS110" s="4">
        <v>1609343500</v>
      </c>
      <c r="AT110" s="4">
        <v>1828708100</v>
      </c>
      <c r="AU110" s="4">
        <v>1853839200</v>
      </c>
      <c r="AV110" s="4">
        <v>1840075100</v>
      </c>
      <c r="AW110" s="4">
        <v>1678646200</v>
      </c>
      <c r="AX110" s="4">
        <v>1823053900</v>
      </c>
      <c r="AY110" s="4">
        <v>1745296500</v>
      </c>
      <c r="AZ110" s="4">
        <v>2053300100</v>
      </c>
      <c r="BA110" s="4">
        <v>2082435500</v>
      </c>
      <c r="BB110" s="4">
        <v>1545740600</v>
      </c>
      <c r="BC110" s="4">
        <v>1882027000</v>
      </c>
      <c r="BD110" s="4">
        <v>1768313000</v>
      </c>
      <c r="BE110" s="4">
        <v>1806921500</v>
      </c>
      <c r="BF110" s="4">
        <v>1841323200</v>
      </c>
      <c r="BG110" s="4">
        <v>2026458300</v>
      </c>
      <c r="BH110" s="4">
        <v>2017494800</v>
      </c>
      <c r="BI110" s="4">
        <v>1739568400</v>
      </c>
      <c r="BJ110" s="4">
        <v>1926931600</v>
      </c>
      <c r="BK110" s="4">
        <v>1844804700</v>
      </c>
      <c r="BL110" s="4">
        <v>2132179900</v>
      </c>
    </row>
    <row r="111" spans="1:64" x14ac:dyDescent="0.25">
      <c r="A111" s="1">
        <v>23</v>
      </c>
      <c r="B111" s="3" t="s">
        <v>31</v>
      </c>
      <c r="C111" s="3" t="s">
        <v>32</v>
      </c>
      <c r="D111" s="3" t="s">
        <v>36</v>
      </c>
      <c r="E111" s="4">
        <v>1938352500</v>
      </c>
      <c r="F111" s="4">
        <v>1474306500</v>
      </c>
      <c r="G111" s="4">
        <v>1600927000</v>
      </c>
      <c r="H111" s="4">
        <v>1697136800</v>
      </c>
      <c r="I111" s="4">
        <v>1650772100</v>
      </c>
      <c r="J111" s="4">
        <v>1602293100</v>
      </c>
      <c r="K111" s="4">
        <v>1751200300</v>
      </c>
      <c r="L111" s="4">
        <v>1748493100</v>
      </c>
      <c r="M111" s="4">
        <v>1675987000</v>
      </c>
      <c r="N111" s="4">
        <v>1837273400</v>
      </c>
      <c r="O111" s="4">
        <v>1724376300</v>
      </c>
      <c r="P111" s="4">
        <v>2082433900</v>
      </c>
      <c r="Q111" s="4">
        <v>2172602500</v>
      </c>
      <c r="R111" s="4">
        <v>1766175200</v>
      </c>
      <c r="S111" s="4">
        <v>1905163900</v>
      </c>
      <c r="T111" s="4">
        <v>1880506300</v>
      </c>
      <c r="U111" s="4">
        <v>1804180000</v>
      </c>
      <c r="V111" s="4">
        <v>1903890200</v>
      </c>
      <c r="W111" s="4">
        <v>2026336000</v>
      </c>
      <c r="X111" s="4">
        <v>2012076100</v>
      </c>
      <c r="Y111" s="4">
        <v>1924258100</v>
      </c>
      <c r="Z111" s="4">
        <v>2136403200</v>
      </c>
      <c r="AA111" s="4">
        <v>2044140300</v>
      </c>
      <c r="AB111" s="4">
        <v>2488980900</v>
      </c>
      <c r="AC111" s="4">
        <v>2695219500</v>
      </c>
      <c r="AD111" s="4">
        <v>2042833600</v>
      </c>
      <c r="AE111" s="4">
        <v>2399290600</v>
      </c>
      <c r="AF111" s="4">
        <v>2021991400</v>
      </c>
      <c r="AG111" s="4">
        <v>2101831200</v>
      </c>
      <c r="AH111" s="4">
        <v>2113499600</v>
      </c>
      <c r="AI111" s="4">
        <v>1992158100</v>
      </c>
      <c r="AJ111" s="4">
        <v>2435946700</v>
      </c>
      <c r="AK111" s="4">
        <v>2112837000</v>
      </c>
      <c r="AL111" s="4">
        <v>2299708800</v>
      </c>
      <c r="AM111" s="4">
        <v>2312439200</v>
      </c>
      <c r="AN111" s="4">
        <v>2678463600</v>
      </c>
      <c r="AO111" s="4">
        <v>2816312000</v>
      </c>
      <c r="AP111" s="4">
        <v>2229883300</v>
      </c>
      <c r="AQ111" s="4">
        <v>2366873100</v>
      </c>
      <c r="AR111" s="4">
        <v>2479053000</v>
      </c>
      <c r="AS111" s="4">
        <v>2395033900</v>
      </c>
      <c r="AT111" s="4">
        <v>2544746900</v>
      </c>
      <c r="AU111" s="4">
        <v>2589048300</v>
      </c>
      <c r="AV111" s="4">
        <v>2620958300</v>
      </c>
      <c r="AW111" s="4">
        <v>2384992800</v>
      </c>
      <c r="AX111" s="4">
        <v>2619050500</v>
      </c>
      <c r="AY111" s="4">
        <v>2579592400</v>
      </c>
      <c r="AZ111" s="4">
        <v>2991380100</v>
      </c>
      <c r="BA111" s="4">
        <v>3249990800</v>
      </c>
      <c r="BB111" s="4">
        <v>2472048400</v>
      </c>
      <c r="BC111" s="4">
        <v>2766351200</v>
      </c>
      <c r="BD111" s="4">
        <v>2650765400</v>
      </c>
      <c r="BE111" s="4">
        <v>2561002400</v>
      </c>
      <c r="BF111" s="4">
        <v>2710874800</v>
      </c>
      <c r="BG111" s="4">
        <v>2834697000</v>
      </c>
      <c r="BH111" s="4">
        <v>2901467200</v>
      </c>
      <c r="BI111" s="4">
        <v>0</v>
      </c>
      <c r="BJ111" s="4">
        <v>0</v>
      </c>
      <c r="BK111" s="4">
        <v>0</v>
      </c>
      <c r="BL111" s="4">
        <v>0</v>
      </c>
    </row>
    <row r="112" spans="1:64" s="10" customFormat="1" x14ac:dyDescent="0.25">
      <c r="A112" s="8">
        <v>29</v>
      </c>
      <c r="B112" s="8" t="s">
        <v>41</v>
      </c>
      <c r="C112" s="8" t="s">
        <v>42</v>
      </c>
      <c r="D112" s="8" t="s">
        <v>46</v>
      </c>
      <c r="E112" s="11">
        <v>1476040700</v>
      </c>
      <c r="F112" s="11">
        <v>1241650400</v>
      </c>
      <c r="G112" s="11">
        <v>1397278700</v>
      </c>
      <c r="H112" s="11">
        <v>1367917200</v>
      </c>
      <c r="I112" s="11">
        <v>1400447300</v>
      </c>
      <c r="J112" s="11">
        <v>1281008400</v>
      </c>
      <c r="K112" s="11">
        <v>1387357500</v>
      </c>
      <c r="L112" s="11">
        <v>1465563300</v>
      </c>
      <c r="M112" s="11">
        <v>1389565900</v>
      </c>
      <c r="N112" s="11">
        <v>1374011600</v>
      </c>
      <c r="O112" s="11">
        <v>1310585100</v>
      </c>
      <c r="P112" s="11">
        <v>1447620900</v>
      </c>
      <c r="Q112" s="11">
        <v>1418114100</v>
      </c>
      <c r="R112" s="11">
        <v>1210146300</v>
      </c>
      <c r="S112" s="11">
        <v>1372176200</v>
      </c>
      <c r="T112" s="11">
        <v>1330308450</v>
      </c>
      <c r="U112" s="11">
        <v>1369338350</v>
      </c>
      <c r="V112" s="11">
        <v>1371711800</v>
      </c>
      <c r="W112" s="11">
        <v>1526963500</v>
      </c>
      <c r="X112" s="11">
        <v>1544155500</v>
      </c>
      <c r="Y112" s="11">
        <v>411817000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</row>
    <row r="113" spans="1:64" s="10" customFormat="1" x14ac:dyDescent="0.25">
      <c r="A113" s="8">
        <v>149</v>
      </c>
      <c r="B113" s="8" t="s">
        <v>225</v>
      </c>
      <c r="C113" s="8" t="s">
        <v>226</v>
      </c>
      <c r="D113" s="8" t="s">
        <v>46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1128318300</v>
      </c>
      <c r="Z113" s="11">
        <v>1499778800</v>
      </c>
      <c r="AA113" s="11">
        <v>1479040300</v>
      </c>
      <c r="AB113" s="11">
        <v>1549184500</v>
      </c>
      <c r="AC113" s="11">
        <v>1579903100</v>
      </c>
      <c r="AD113" s="11">
        <v>1426567950</v>
      </c>
      <c r="AE113" s="11">
        <v>1535688300</v>
      </c>
      <c r="AF113" s="11">
        <v>1416678650</v>
      </c>
      <c r="AG113" s="11">
        <v>1395321650</v>
      </c>
      <c r="AH113" s="11">
        <v>1342445750</v>
      </c>
      <c r="AI113" s="11">
        <v>1398594950</v>
      </c>
      <c r="AJ113" s="11">
        <v>1496106700</v>
      </c>
      <c r="AK113" s="11">
        <v>1492741400</v>
      </c>
      <c r="AL113" s="11">
        <v>1434759800</v>
      </c>
      <c r="AM113" s="11">
        <v>1380958100</v>
      </c>
      <c r="AN113" s="11">
        <v>1531267700</v>
      </c>
      <c r="AO113" s="11">
        <v>1580979350</v>
      </c>
      <c r="AP113" s="11">
        <v>1365064050</v>
      </c>
      <c r="AQ113" s="11">
        <v>1534092750</v>
      </c>
      <c r="AR113" s="11">
        <v>1521981550</v>
      </c>
      <c r="AS113" s="11">
        <v>1520355250</v>
      </c>
      <c r="AT113" s="11">
        <v>1480610600</v>
      </c>
      <c r="AU113" s="11">
        <v>1484724300</v>
      </c>
      <c r="AV113" s="11">
        <v>1694891700</v>
      </c>
      <c r="AW113" s="11">
        <v>1620453400</v>
      </c>
      <c r="AX113" s="11">
        <v>1565489450</v>
      </c>
      <c r="AY113" s="11">
        <v>1514894400</v>
      </c>
      <c r="AZ113" s="11">
        <v>1725818600</v>
      </c>
      <c r="BA113" s="11">
        <v>1705232550</v>
      </c>
      <c r="BB113" s="11">
        <v>1415698400</v>
      </c>
      <c r="BC113" s="11">
        <v>1610766350</v>
      </c>
      <c r="BD113" s="11">
        <v>1481687350</v>
      </c>
      <c r="BE113" s="11">
        <v>1506463950</v>
      </c>
      <c r="BF113" s="11">
        <v>1467353550</v>
      </c>
      <c r="BG113" s="11">
        <v>1622784250</v>
      </c>
      <c r="BH113" s="11">
        <v>1615596450</v>
      </c>
      <c r="BI113" s="11">
        <v>1575771350</v>
      </c>
      <c r="BJ113" s="11">
        <v>1626177300</v>
      </c>
      <c r="BK113" s="11">
        <v>1601349500</v>
      </c>
      <c r="BL113" s="11">
        <v>1772354200</v>
      </c>
    </row>
    <row r="114" spans="1:64" x14ac:dyDescent="0.25">
      <c r="A114" s="1">
        <v>88</v>
      </c>
      <c r="B114" s="3" t="s">
        <v>121</v>
      </c>
      <c r="C114" s="3" t="s">
        <v>122</v>
      </c>
      <c r="D114" s="3" t="s">
        <v>126</v>
      </c>
      <c r="E114" s="4">
        <v>932840900</v>
      </c>
      <c r="F114" s="4">
        <v>771856300</v>
      </c>
      <c r="G114" s="4">
        <v>845201600</v>
      </c>
      <c r="H114" s="4">
        <v>898296600</v>
      </c>
      <c r="I114" s="4">
        <v>855867500</v>
      </c>
      <c r="J114" s="4">
        <v>887269700</v>
      </c>
      <c r="K114" s="4">
        <v>940607500</v>
      </c>
      <c r="L114" s="4">
        <v>928890000</v>
      </c>
      <c r="M114" s="4">
        <v>914002500</v>
      </c>
      <c r="N114" s="4">
        <v>982313200</v>
      </c>
      <c r="O114" s="4">
        <v>896320200</v>
      </c>
      <c r="P114" s="4">
        <v>975753000</v>
      </c>
      <c r="Q114" s="4">
        <v>1028968000</v>
      </c>
      <c r="R114" s="4">
        <v>963481500</v>
      </c>
      <c r="S114" s="4">
        <v>1037814500</v>
      </c>
      <c r="T114" s="4">
        <v>1009342300</v>
      </c>
      <c r="U114" s="4">
        <v>1050392550</v>
      </c>
      <c r="V114" s="4">
        <v>1055423600</v>
      </c>
      <c r="W114" s="4">
        <v>1164093000</v>
      </c>
      <c r="X114" s="4">
        <v>1018413400</v>
      </c>
      <c r="Y114" s="4">
        <v>983346600</v>
      </c>
      <c r="Z114" s="4">
        <v>1101172800</v>
      </c>
      <c r="AA114" s="4">
        <v>1101739400</v>
      </c>
      <c r="AB114" s="4">
        <v>1153980000</v>
      </c>
      <c r="AC114" s="4">
        <v>1299479200</v>
      </c>
      <c r="AD114" s="4">
        <v>1222265900</v>
      </c>
      <c r="AE114" s="4">
        <v>1228870500</v>
      </c>
      <c r="AF114" s="4">
        <v>1170370600</v>
      </c>
      <c r="AG114" s="4">
        <v>988939600</v>
      </c>
      <c r="AH114" s="4">
        <v>1021569200</v>
      </c>
      <c r="AI114" s="4">
        <v>959435000</v>
      </c>
      <c r="AJ114" s="4">
        <v>1069438000</v>
      </c>
      <c r="AK114" s="4">
        <v>1020333300</v>
      </c>
      <c r="AL114" s="4">
        <v>1047964800</v>
      </c>
      <c r="AM114" s="4">
        <v>1120544600</v>
      </c>
      <c r="AN114" s="4">
        <v>1159707500</v>
      </c>
      <c r="AO114" s="4">
        <v>1205901500</v>
      </c>
      <c r="AP114" s="4">
        <v>1015297300</v>
      </c>
      <c r="AQ114" s="4">
        <v>1145641000</v>
      </c>
      <c r="AR114" s="4">
        <v>1170228050</v>
      </c>
      <c r="AS114" s="4">
        <v>1114071600</v>
      </c>
      <c r="AT114" s="4">
        <v>1141524400</v>
      </c>
      <c r="AU114" s="4">
        <v>1150949100</v>
      </c>
      <c r="AV114" s="4">
        <v>1116513300</v>
      </c>
      <c r="AW114" s="4">
        <v>1086451700</v>
      </c>
      <c r="AX114" s="4">
        <v>1137941800</v>
      </c>
      <c r="AY114" s="4">
        <v>1144120600</v>
      </c>
      <c r="AZ114" s="4">
        <v>1204926100</v>
      </c>
      <c r="BA114" s="4">
        <v>1284271000</v>
      </c>
      <c r="BB114" s="4">
        <v>1088177700</v>
      </c>
      <c r="BC114" s="4">
        <v>1303962300</v>
      </c>
      <c r="BD114" s="4">
        <v>1193749700</v>
      </c>
      <c r="BE114" s="4">
        <v>1177147800</v>
      </c>
      <c r="BF114" s="4">
        <v>1293073650</v>
      </c>
      <c r="BG114" s="4">
        <v>1260649500</v>
      </c>
      <c r="BH114" s="4">
        <v>1266744500</v>
      </c>
      <c r="BI114" s="4">
        <v>1235209900</v>
      </c>
      <c r="BJ114" s="4">
        <v>1296581100</v>
      </c>
      <c r="BK114" s="4">
        <v>1263650700</v>
      </c>
      <c r="BL114" s="4">
        <v>1341757500</v>
      </c>
    </row>
    <row r="115" spans="1:64" x14ac:dyDescent="0.25">
      <c r="A115" s="1">
        <v>101</v>
      </c>
      <c r="B115" s="3" t="s">
        <v>151</v>
      </c>
      <c r="C115" s="3" t="s">
        <v>152</v>
      </c>
      <c r="D115" s="3" t="s">
        <v>153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214493200</v>
      </c>
      <c r="T115" s="4">
        <v>346046750</v>
      </c>
      <c r="U115" s="4">
        <v>352292700</v>
      </c>
      <c r="V115" s="4">
        <v>381725650</v>
      </c>
      <c r="W115" s="4">
        <v>374881500</v>
      </c>
      <c r="X115" s="4">
        <v>374279500</v>
      </c>
      <c r="Y115" s="4">
        <v>351139450</v>
      </c>
      <c r="Z115" s="4">
        <v>368330850</v>
      </c>
      <c r="AA115" s="4">
        <v>361666800</v>
      </c>
      <c r="AB115" s="4">
        <v>440434200</v>
      </c>
      <c r="AC115" s="4">
        <v>479799850</v>
      </c>
      <c r="AD115" s="4">
        <v>343740900</v>
      </c>
      <c r="AE115" s="4">
        <v>412839700</v>
      </c>
      <c r="AF115" s="4">
        <v>368256250</v>
      </c>
      <c r="AG115" s="4">
        <v>388707600</v>
      </c>
      <c r="AH115" s="4">
        <v>415667250</v>
      </c>
      <c r="AI115" s="4">
        <v>415804550</v>
      </c>
      <c r="AJ115" s="4">
        <v>415485550</v>
      </c>
      <c r="AK115" s="4">
        <v>374972200</v>
      </c>
      <c r="AL115" s="4">
        <v>426841100</v>
      </c>
      <c r="AM115" s="4">
        <v>416386700</v>
      </c>
      <c r="AN115" s="4">
        <v>500581150</v>
      </c>
      <c r="AO115" s="4">
        <v>587610850</v>
      </c>
      <c r="AP115" s="4">
        <v>390357200</v>
      </c>
      <c r="AQ115" s="4">
        <v>426187200</v>
      </c>
      <c r="AR115" s="4">
        <v>440529650</v>
      </c>
      <c r="AS115" s="4">
        <v>410838850</v>
      </c>
      <c r="AT115" s="4">
        <v>425395700</v>
      </c>
      <c r="AU115" s="4">
        <v>435708700</v>
      </c>
      <c r="AV115" s="4">
        <v>415893250</v>
      </c>
      <c r="AW115" s="4">
        <v>409318000</v>
      </c>
      <c r="AX115" s="4">
        <v>447014250</v>
      </c>
      <c r="AY115" s="4">
        <v>436259400</v>
      </c>
      <c r="AZ115" s="4">
        <v>546898500</v>
      </c>
      <c r="BA115" s="4">
        <v>567245250</v>
      </c>
      <c r="BB115" s="4">
        <v>424609400</v>
      </c>
      <c r="BC115" s="4">
        <v>490294400</v>
      </c>
      <c r="BD115" s="4">
        <v>479456100</v>
      </c>
      <c r="BE115" s="4">
        <v>488050050</v>
      </c>
      <c r="BF115" s="4">
        <v>581561450</v>
      </c>
      <c r="BG115" s="4">
        <v>514470550</v>
      </c>
      <c r="BH115" s="4">
        <v>489252750</v>
      </c>
      <c r="BI115" s="4">
        <v>491273750</v>
      </c>
      <c r="BJ115" s="4">
        <v>526353800</v>
      </c>
      <c r="BK115" s="4">
        <v>486971600</v>
      </c>
      <c r="BL115" s="4">
        <v>577156100</v>
      </c>
    </row>
    <row r="116" spans="1:64" x14ac:dyDescent="0.25">
      <c r="A116" s="1">
        <v>16</v>
      </c>
      <c r="B116" s="3" t="s">
        <v>21</v>
      </c>
      <c r="C116" s="3" t="s">
        <v>22</v>
      </c>
      <c r="D116" s="3" t="s">
        <v>25</v>
      </c>
      <c r="E116" s="4">
        <v>1639089300</v>
      </c>
      <c r="F116" s="4">
        <v>1140454800</v>
      </c>
      <c r="G116" s="4">
        <v>1412606800</v>
      </c>
      <c r="H116" s="4">
        <v>1465572200</v>
      </c>
      <c r="I116" s="4">
        <v>1274537500</v>
      </c>
      <c r="J116" s="4">
        <v>1443511000</v>
      </c>
      <c r="K116" s="4">
        <v>1355035600</v>
      </c>
      <c r="L116" s="4">
        <v>1440373900</v>
      </c>
      <c r="M116" s="4">
        <v>1287129400</v>
      </c>
      <c r="N116" s="4">
        <v>1374955300</v>
      </c>
      <c r="O116" s="4">
        <v>1408555900</v>
      </c>
      <c r="P116" s="4">
        <v>1644491200</v>
      </c>
      <c r="Q116" s="4">
        <v>1772280500</v>
      </c>
      <c r="R116" s="4">
        <v>1368187900</v>
      </c>
      <c r="S116" s="4">
        <v>1513542100</v>
      </c>
      <c r="T116" s="4">
        <v>1554667900</v>
      </c>
      <c r="U116" s="4">
        <v>1521957500</v>
      </c>
      <c r="V116" s="4">
        <v>1657884600</v>
      </c>
      <c r="W116" s="4">
        <v>1670853400</v>
      </c>
      <c r="X116" s="4">
        <v>1666913200</v>
      </c>
      <c r="Y116" s="4">
        <v>1453518900</v>
      </c>
      <c r="Z116" s="4">
        <v>1638917700</v>
      </c>
      <c r="AA116" s="4">
        <v>1716118500</v>
      </c>
      <c r="AB116" s="4">
        <v>1950935000</v>
      </c>
      <c r="AC116" s="4">
        <v>2146704600</v>
      </c>
      <c r="AD116" s="4">
        <v>1666969800</v>
      </c>
      <c r="AE116" s="4">
        <v>1987465300</v>
      </c>
      <c r="AF116" s="4">
        <v>1592873600</v>
      </c>
      <c r="AG116" s="4">
        <v>1837900900</v>
      </c>
      <c r="AH116" s="4">
        <v>1770839800</v>
      </c>
      <c r="AI116" s="4">
        <v>2073798500</v>
      </c>
      <c r="AJ116" s="4">
        <v>1857524100</v>
      </c>
      <c r="AK116" s="4">
        <v>1687647500</v>
      </c>
      <c r="AL116" s="4">
        <v>1808628200</v>
      </c>
      <c r="AM116" s="4">
        <v>1690581800</v>
      </c>
      <c r="AN116" s="4">
        <v>2211522700</v>
      </c>
      <c r="AO116" s="4">
        <v>2516824800</v>
      </c>
      <c r="AP116" s="4">
        <v>1973095500</v>
      </c>
      <c r="AQ116" s="4">
        <v>2099465700</v>
      </c>
      <c r="AR116" s="4">
        <v>2197674600</v>
      </c>
      <c r="AS116" s="4">
        <v>1867987000</v>
      </c>
      <c r="AT116" s="4">
        <v>2148617400</v>
      </c>
      <c r="AU116" s="4">
        <v>2257298600</v>
      </c>
      <c r="AV116" s="4">
        <v>2070234600</v>
      </c>
      <c r="AW116" s="4">
        <v>1919977300</v>
      </c>
      <c r="AX116" s="4">
        <v>2214439800</v>
      </c>
      <c r="AY116" s="4">
        <v>2060998000</v>
      </c>
      <c r="AZ116" s="4">
        <v>2417176500</v>
      </c>
      <c r="BA116" s="4">
        <v>2473418300</v>
      </c>
      <c r="BB116" s="4">
        <v>1970802800</v>
      </c>
      <c r="BC116" s="4">
        <v>2403180400</v>
      </c>
      <c r="BD116" s="4">
        <v>2042297700</v>
      </c>
      <c r="BE116" s="4">
        <v>1967619000</v>
      </c>
      <c r="BF116" s="4">
        <v>2276672400</v>
      </c>
      <c r="BG116" s="4">
        <v>2551952400</v>
      </c>
      <c r="BH116" s="4">
        <v>2400760900</v>
      </c>
      <c r="BI116" s="4">
        <v>2152449100</v>
      </c>
      <c r="BJ116" s="4">
        <v>2343183900</v>
      </c>
      <c r="BK116" s="4">
        <v>2401582000</v>
      </c>
      <c r="BL116" s="4">
        <v>2763932200</v>
      </c>
    </row>
    <row r="117" spans="1:64" s="10" customFormat="1" x14ac:dyDescent="0.25">
      <c r="A117" s="8">
        <v>92</v>
      </c>
      <c r="B117" s="8" t="s">
        <v>129</v>
      </c>
      <c r="C117" s="8" t="s">
        <v>130</v>
      </c>
      <c r="D117" s="8" t="s">
        <v>132</v>
      </c>
      <c r="E117" s="11">
        <v>827592700</v>
      </c>
      <c r="F117" s="11">
        <v>591417900</v>
      </c>
      <c r="G117" s="11">
        <v>690601800</v>
      </c>
      <c r="H117" s="11">
        <v>715001000</v>
      </c>
      <c r="I117" s="11">
        <v>653029700</v>
      </c>
      <c r="J117" s="11">
        <v>637273900</v>
      </c>
      <c r="K117" s="11">
        <v>661922500</v>
      </c>
      <c r="L117" s="11">
        <v>626454800</v>
      </c>
      <c r="M117" s="11">
        <v>608905800</v>
      </c>
      <c r="N117" s="11">
        <v>650651700</v>
      </c>
      <c r="O117" s="11">
        <v>642230800</v>
      </c>
      <c r="P117" s="11">
        <v>740460100</v>
      </c>
      <c r="Q117" s="11">
        <v>788067500</v>
      </c>
      <c r="R117" s="11">
        <v>607136900</v>
      </c>
      <c r="S117" s="11">
        <v>690809800</v>
      </c>
      <c r="T117" s="11">
        <v>700914000</v>
      </c>
      <c r="U117" s="11">
        <v>677713000</v>
      </c>
      <c r="V117" s="11">
        <v>725175700</v>
      </c>
      <c r="W117" s="11">
        <v>703731900</v>
      </c>
      <c r="X117" s="11">
        <v>707473100</v>
      </c>
      <c r="Y117" s="11">
        <v>687136900</v>
      </c>
      <c r="Z117" s="11">
        <v>741058600</v>
      </c>
      <c r="AA117" s="11">
        <v>718955100</v>
      </c>
      <c r="AB117" s="11">
        <v>879619600</v>
      </c>
      <c r="AC117" s="11">
        <v>937469500</v>
      </c>
      <c r="AD117" s="11">
        <v>718555700</v>
      </c>
      <c r="AE117" s="11">
        <v>829566900</v>
      </c>
      <c r="AF117" s="11">
        <v>693476000</v>
      </c>
      <c r="AG117" s="11">
        <v>735940600</v>
      </c>
      <c r="AH117" s="11">
        <v>767762200</v>
      </c>
      <c r="AI117" s="11">
        <v>728208400</v>
      </c>
      <c r="AJ117" s="11">
        <v>753713200</v>
      </c>
      <c r="AK117" s="11">
        <v>719074300</v>
      </c>
      <c r="AL117" s="11">
        <v>776502400</v>
      </c>
      <c r="AM117" s="11">
        <v>754804700</v>
      </c>
      <c r="AN117" s="11">
        <v>864006300</v>
      </c>
      <c r="AO117" s="11">
        <v>932830500</v>
      </c>
      <c r="AP117" s="11">
        <v>697092900</v>
      </c>
      <c r="AQ117" s="11">
        <v>783381200</v>
      </c>
      <c r="AR117" s="11">
        <v>882347900</v>
      </c>
      <c r="AS117" s="11">
        <v>819318600</v>
      </c>
      <c r="AT117" s="11">
        <v>844012600</v>
      </c>
      <c r="AU117" s="11">
        <v>861075200</v>
      </c>
      <c r="AV117" s="11">
        <v>578198500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</row>
    <row r="118" spans="1:64" s="10" customFormat="1" x14ac:dyDescent="0.25">
      <c r="A118" s="8">
        <v>120</v>
      </c>
      <c r="B118" s="8" t="s">
        <v>177</v>
      </c>
      <c r="C118" s="8" t="s">
        <v>178</v>
      </c>
      <c r="D118" s="8" t="s">
        <v>132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386861100</v>
      </c>
      <c r="AW118" s="11">
        <v>1262420600</v>
      </c>
      <c r="AX118" s="11">
        <v>1361246800</v>
      </c>
      <c r="AY118" s="11">
        <v>1348990700</v>
      </c>
      <c r="AZ118" s="11">
        <v>1558436700</v>
      </c>
      <c r="BA118" s="11">
        <v>1689762000</v>
      </c>
      <c r="BB118" s="11">
        <v>1246570700</v>
      </c>
      <c r="BC118" s="11">
        <v>1437264300</v>
      </c>
      <c r="BD118" s="11">
        <v>1330776600</v>
      </c>
      <c r="BE118" s="11">
        <v>1240759700</v>
      </c>
      <c r="BF118" s="11">
        <v>1198105300</v>
      </c>
      <c r="BG118" s="11">
        <v>1349502800</v>
      </c>
      <c r="BH118" s="11">
        <v>1360299600</v>
      </c>
      <c r="BI118" s="11">
        <v>1280051100</v>
      </c>
      <c r="BJ118" s="11">
        <v>1381690400</v>
      </c>
      <c r="BK118" s="11">
        <v>1322513100</v>
      </c>
      <c r="BL118" s="11">
        <v>1545757200</v>
      </c>
    </row>
    <row r="119" spans="1:64" x14ac:dyDescent="0.25">
      <c r="A119" s="1">
        <v>125</v>
      </c>
      <c r="B119" s="3" t="s">
        <v>189</v>
      </c>
      <c r="C119" s="3" t="s">
        <v>190</v>
      </c>
      <c r="D119" s="3" t="s">
        <v>191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>
        <v>0</v>
      </c>
      <c r="AD119" s="4">
        <v>0</v>
      </c>
      <c r="AE119" s="4">
        <v>0</v>
      </c>
      <c r="AF119" s="4">
        <v>0</v>
      </c>
      <c r="AG119" s="4">
        <v>346980900</v>
      </c>
      <c r="AH119" s="4">
        <v>483823250</v>
      </c>
      <c r="AI119" s="4">
        <v>464843500</v>
      </c>
      <c r="AJ119" s="4">
        <v>523935700</v>
      </c>
      <c r="AK119" s="4">
        <v>485742200</v>
      </c>
      <c r="AL119" s="4">
        <v>493239100</v>
      </c>
      <c r="AM119" s="4">
        <v>488165600</v>
      </c>
      <c r="AN119" s="4">
        <v>624728000</v>
      </c>
      <c r="AO119" s="4">
        <v>610257100</v>
      </c>
      <c r="AP119" s="4">
        <v>507092700</v>
      </c>
      <c r="AQ119" s="4">
        <v>571007100</v>
      </c>
      <c r="AR119" s="4">
        <v>624573800</v>
      </c>
      <c r="AS119" s="4">
        <v>529768000</v>
      </c>
      <c r="AT119" s="4">
        <v>533843800</v>
      </c>
      <c r="AU119" s="4">
        <v>552759500</v>
      </c>
      <c r="AV119" s="4">
        <v>512157300</v>
      </c>
      <c r="AW119" s="4">
        <v>486472900</v>
      </c>
      <c r="AX119" s="4">
        <v>515762900</v>
      </c>
      <c r="AY119" s="4">
        <v>506661100</v>
      </c>
      <c r="AZ119" s="4">
        <v>627885300</v>
      </c>
      <c r="BA119" s="4">
        <v>641586800</v>
      </c>
      <c r="BB119" s="4">
        <v>272719500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</row>
    <row r="120" spans="1:64" x14ac:dyDescent="0.25">
      <c r="A120" s="1">
        <v>25</v>
      </c>
      <c r="B120" s="3" t="s">
        <v>37</v>
      </c>
      <c r="C120" s="3" t="s">
        <v>38</v>
      </c>
      <c r="D120" s="3" t="s">
        <v>40</v>
      </c>
      <c r="E120" s="4">
        <v>4260027900</v>
      </c>
      <c r="F120" s="4">
        <v>4023140200</v>
      </c>
      <c r="G120" s="4">
        <v>4646068400</v>
      </c>
      <c r="H120" s="4">
        <v>4526079800</v>
      </c>
      <c r="I120" s="4">
        <v>4486958700</v>
      </c>
      <c r="J120" s="4">
        <v>4260157200</v>
      </c>
      <c r="K120" s="4">
        <v>4638381500</v>
      </c>
      <c r="L120" s="4">
        <v>4661798300</v>
      </c>
      <c r="M120" s="4">
        <v>4429328900</v>
      </c>
      <c r="N120" s="4">
        <v>4628463300</v>
      </c>
      <c r="O120" s="4">
        <v>4370037600</v>
      </c>
      <c r="P120" s="4">
        <v>4976485900</v>
      </c>
      <c r="Q120" s="4">
        <v>4503591100</v>
      </c>
      <c r="R120" s="4">
        <v>4361662400</v>
      </c>
      <c r="S120" s="4">
        <v>4774160600</v>
      </c>
      <c r="T120" s="4">
        <v>4539751100</v>
      </c>
      <c r="U120" s="4">
        <v>4809992500</v>
      </c>
      <c r="V120" s="4">
        <v>4820429900</v>
      </c>
      <c r="W120" s="4">
        <v>5204422500</v>
      </c>
      <c r="X120" s="4">
        <v>5199847000</v>
      </c>
      <c r="Y120" s="4">
        <v>5041356800</v>
      </c>
      <c r="Z120" s="4">
        <v>5165907900</v>
      </c>
      <c r="AA120" s="4">
        <v>4862477000</v>
      </c>
      <c r="AB120" s="4">
        <v>5404302800</v>
      </c>
      <c r="AC120" s="4">
        <v>4961509200</v>
      </c>
      <c r="AD120" s="4">
        <v>4982415900</v>
      </c>
      <c r="AE120" s="4">
        <v>5115309000</v>
      </c>
      <c r="AF120" s="4">
        <v>4990199900</v>
      </c>
      <c r="AG120" s="4">
        <v>5063535000</v>
      </c>
      <c r="AH120" s="4">
        <v>4969581400</v>
      </c>
      <c r="AI120" s="4">
        <v>4883636400</v>
      </c>
      <c r="AJ120" s="4">
        <v>5182408000</v>
      </c>
      <c r="AK120" s="4">
        <v>4962313700</v>
      </c>
      <c r="AL120" s="4">
        <v>5066872100</v>
      </c>
      <c r="AM120" s="4">
        <v>4916755200</v>
      </c>
      <c r="AN120" s="4">
        <v>5393722300</v>
      </c>
      <c r="AO120" s="4">
        <v>5077110100</v>
      </c>
      <c r="AP120" s="4">
        <v>4882660900</v>
      </c>
      <c r="AQ120" s="4">
        <v>5459294200</v>
      </c>
      <c r="AR120" s="4">
        <v>5296282400</v>
      </c>
      <c r="AS120" s="4">
        <v>5393692800</v>
      </c>
      <c r="AT120" s="4">
        <v>5332181100</v>
      </c>
      <c r="AU120" s="4">
        <v>5495908200</v>
      </c>
      <c r="AV120" s="4">
        <v>5484293700</v>
      </c>
      <c r="AW120" s="4">
        <v>5230989100</v>
      </c>
      <c r="AX120" s="4">
        <v>5465271000</v>
      </c>
      <c r="AY120" s="4">
        <v>5412315900</v>
      </c>
      <c r="AZ120" s="4">
        <v>5912242700</v>
      </c>
      <c r="BA120" s="4">
        <v>5436792500</v>
      </c>
      <c r="BB120" s="4">
        <v>5202437300</v>
      </c>
      <c r="BC120" s="4">
        <v>5791713000</v>
      </c>
      <c r="BD120" s="4">
        <v>5182971400</v>
      </c>
      <c r="BE120" s="4">
        <v>5902206200</v>
      </c>
      <c r="BF120" s="4">
        <v>5882285500</v>
      </c>
      <c r="BG120" s="4">
        <v>5961525800</v>
      </c>
      <c r="BH120" s="4">
        <v>6082898900</v>
      </c>
      <c r="BI120" s="4">
        <v>5908303800</v>
      </c>
      <c r="BJ120" s="4">
        <v>6202894400</v>
      </c>
      <c r="BK120" s="4">
        <v>6056332300</v>
      </c>
      <c r="BL120" s="4">
        <v>6569046900</v>
      </c>
    </row>
    <row r="121" spans="1:64" x14ac:dyDescent="0.25">
      <c r="A121" s="1">
        <v>126</v>
      </c>
      <c r="B121" s="3" t="s">
        <v>189</v>
      </c>
      <c r="C121" s="3" t="s">
        <v>190</v>
      </c>
      <c r="D121" s="3" t="s">
        <v>192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164874100</v>
      </c>
      <c r="AL121" s="4">
        <v>537141750</v>
      </c>
      <c r="AM121" s="4">
        <v>522735800</v>
      </c>
      <c r="AN121" s="4">
        <v>660958000</v>
      </c>
      <c r="AO121" s="4">
        <v>621021700</v>
      </c>
      <c r="AP121" s="4">
        <v>263175150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</row>
    <row r="122" spans="1:64" x14ac:dyDescent="0.25">
      <c r="A122" s="1">
        <v>102</v>
      </c>
      <c r="B122" s="3" t="s">
        <v>154</v>
      </c>
      <c r="C122" s="3" t="s">
        <v>155</v>
      </c>
      <c r="D122" s="3" t="s">
        <v>156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1317652300</v>
      </c>
      <c r="AA122" s="4">
        <v>1272344250</v>
      </c>
      <c r="AB122" s="4">
        <v>1448453000</v>
      </c>
      <c r="AC122" s="4">
        <v>1407381400</v>
      </c>
      <c r="AD122" s="4">
        <v>1250353400</v>
      </c>
      <c r="AE122" s="4">
        <v>1342766700</v>
      </c>
      <c r="AF122" s="4">
        <v>1244240800</v>
      </c>
      <c r="AG122" s="4">
        <v>1288514800</v>
      </c>
      <c r="AH122" s="4">
        <v>1344636600</v>
      </c>
      <c r="AI122" s="4">
        <v>1395141600</v>
      </c>
      <c r="AJ122" s="4">
        <v>1380876700</v>
      </c>
      <c r="AK122" s="4">
        <v>1318791300</v>
      </c>
      <c r="AL122" s="4">
        <v>1346364700</v>
      </c>
      <c r="AM122" s="4">
        <v>1312799500</v>
      </c>
      <c r="AN122" s="4">
        <v>1516516600</v>
      </c>
      <c r="AO122" s="4">
        <v>1497558800</v>
      </c>
      <c r="AP122" s="4">
        <v>1264700100</v>
      </c>
      <c r="AQ122" s="4">
        <v>1340984000</v>
      </c>
      <c r="AR122" s="4">
        <v>1338833300</v>
      </c>
      <c r="AS122" s="4">
        <v>1305408900</v>
      </c>
      <c r="AT122" s="4">
        <v>1342112700</v>
      </c>
      <c r="AU122" s="4">
        <v>1397535300</v>
      </c>
      <c r="AV122" s="4">
        <v>1373798000</v>
      </c>
      <c r="AW122" s="4">
        <v>1324665000</v>
      </c>
      <c r="AX122" s="4">
        <v>1451480600</v>
      </c>
      <c r="AY122" s="4">
        <v>1412049900</v>
      </c>
      <c r="AZ122" s="4">
        <v>948616500</v>
      </c>
      <c r="BA122" s="4">
        <v>940673400</v>
      </c>
      <c r="BB122" s="4">
        <v>973823400</v>
      </c>
      <c r="BC122" s="4">
        <v>1162331350</v>
      </c>
      <c r="BD122" s="4">
        <v>1122420400</v>
      </c>
      <c r="BE122" s="4">
        <v>1139217300</v>
      </c>
      <c r="BF122" s="4">
        <v>1200844700</v>
      </c>
      <c r="BG122" s="4">
        <v>1233018400</v>
      </c>
      <c r="BH122" s="4">
        <v>1234582700</v>
      </c>
      <c r="BI122" s="4">
        <v>1144462800</v>
      </c>
      <c r="BJ122" s="4">
        <v>1214083000</v>
      </c>
      <c r="BK122" s="4">
        <v>1206201300</v>
      </c>
      <c r="BL122" s="4">
        <v>1428273500</v>
      </c>
    </row>
    <row r="123" spans="1:64" x14ac:dyDescent="0.25">
      <c r="A123" s="1">
        <v>94</v>
      </c>
      <c r="B123" s="3" t="s">
        <v>133</v>
      </c>
      <c r="C123" s="3" t="s">
        <v>134</v>
      </c>
      <c r="D123" s="3" t="s">
        <v>136</v>
      </c>
      <c r="E123" s="4">
        <v>1284437850</v>
      </c>
      <c r="F123" s="4">
        <v>991219550</v>
      </c>
      <c r="G123" s="4">
        <v>1046244900</v>
      </c>
      <c r="H123" s="4">
        <v>1118200820</v>
      </c>
      <c r="I123" s="4">
        <v>1550374900</v>
      </c>
      <c r="J123" s="4">
        <v>1230200500</v>
      </c>
      <c r="K123" s="4">
        <v>1142545750</v>
      </c>
      <c r="L123" s="4">
        <v>1094133200</v>
      </c>
      <c r="M123" s="4">
        <v>1037069200</v>
      </c>
      <c r="N123" s="4">
        <v>1113974450</v>
      </c>
      <c r="O123" s="4">
        <v>1280638250</v>
      </c>
      <c r="P123" s="4">
        <v>1171647300</v>
      </c>
      <c r="Q123" s="4">
        <v>1277167500</v>
      </c>
      <c r="R123" s="4">
        <v>1004356850</v>
      </c>
      <c r="S123" s="4">
        <v>983009450</v>
      </c>
      <c r="T123" s="4">
        <v>1103974600</v>
      </c>
      <c r="U123" s="4">
        <v>1119385000</v>
      </c>
      <c r="V123" s="4">
        <v>1105973350</v>
      </c>
      <c r="W123" s="4">
        <v>1119715600</v>
      </c>
      <c r="X123" s="4">
        <v>1077697200</v>
      </c>
      <c r="Y123" s="4">
        <v>1043108050</v>
      </c>
      <c r="Z123" s="4">
        <v>1126385950</v>
      </c>
      <c r="AA123" s="4">
        <v>1110492500</v>
      </c>
      <c r="AB123" s="4">
        <v>1245084700</v>
      </c>
      <c r="AC123" s="4">
        <v>1394896500</v>
      </c>
      <c r="AD123" s="4">
        <v>1096419550</v>
      </c>
      <c r="AE123" s="4">
        <v>1205491550</v>
      </c>
      <c r="AF123" s="4">
        <v>636819450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</row>
    <row r="124" spans="1:64" x14ac:dyDescent="0.25">
      <c r="A124" s="1">
        <v>44</v>
      </c>
      <c r="B124" s="3" t="s">
        <v>59</v>
      </c>
      <c r="C124" s="3" t="s">
        <v>60</v>
      </c>
      <c r="D124" s="3" t="s">
        <v>67</v>
      </c>
      <c r="E124" s="4">
        <v>730595500</v>
      </c>
      <c r="F124" s="4">
        <v>636207600</v>
      </c>
      <c r="G124" s="4">
        <v>708637900</v>
      </c>
      <c r="H124" s="4">
        <v>704943600</v>
      </c>
      <c r="I124" s="4">
        <v>706375800</v>
      </c>
      <c r="J124" s="4">
        <v>690140500</v>
      </c>
      <c r="K124" s="4">
        <v>720477700</v>
      </c>
      <c r="L124" s="4">
        <v>741255900</v>
      </c>
      <c r="M124" s="4">
        <v>697677900</v>
      </c>
      <c r="N124" s="4">
        <v>733388800</v>
      </c>
      <c r="O124" s="4">
        <v>728021800</v>
      </c>
      <c r="P124" s="4">
        <v>845835100</v>
      </c>
      <c r="Q124" s="4">
        <v>814778700</v>
      </c>
      <c r="R124" s="4">
        <v>711667400</v>
      </c>
      <c r="S124" s="4">
        <v>831045700</v>
      </c>
      <c r="T124" s="4">
        <v>784633900</v>
      </c>
      <c r="U124" s="4">
        <v>801216700</v>
      </c>
      <c r="V124" s="4">
        <v>830888700</v>
      </c>
      <c r="W124" s="4">
        <v>908816500</v>
      </c>
      <c r="X124" s="4">
        <v>893572300</v>
      </c>
      <c r="Y124" s="4">
        <v>804269200</v>
      </c>
      <c r="Z124" s="4">
        <v>862125600</v>
      </c>
      <c r="AA124" s="4">
        <v>863728500</v>
      </c>
      <c r="AB124" s="4">
        <v>1004981200</v>
      </c>
      <c r="AC124" s="4">
        <v>974653400</v>
      </c>
      <c r="AD124" s="4">
        <v>831984700</v>
      </c>
      <c r="AE124" s="4">
        <v>942696600</v>
      </c>
      <c r="AF124" s="4">
        <v>849852300</v>
      </c>
      <c r="AG124" s="4">
        <v>920097200</v>
      </c>
      <c r="AH124" s="4">
        <v>930049300</v>
      </c>
      <c r="AI124" s="4">
        <v>1066087600</v>
      </c>
      <c r="AJ124" s="4">
        <v>981119000</v>
      </c>
      <c r="AK124" s="4">
        <v>904634700</v>
      </c>
      <c r="AL124" s="4">
        <v>951523600</v>
      </c>
      <c r="AM124" s="4">
        <v>935507700</v>
      </c>
      <c r="AN124" s="4">
        <v>1076772400</v>
      </c>
      <c r="AO124" s="4">
        <v>1050381500</v>
      </c>
      <c r="AP124" s="4">
        <v>886527400</v>
      </c>
      <c r="AQ124" s="4">
        <v>999404100</v>
      </c>
      <c r="AR124" s="4">
        <v>1018701800</v>
      </c>
      <c r="AS124" s="4">
        <v>996169500</v>
      </c>
      <c r="AT124" s="4">
        <v>1017956400</v>
      </c>
      <c r="AU124" s="4">
        <v>1085042000</v>
      </c>
      <c r="AV124" s="4">
        <v>1060977900</v>
      </c>
      <c r="AW124" s="4">
        <v>973641100</v>
      </c>
      <c r="AX124" s="4">
        <v>1021876900</v>
      </c>
      <c r="AY124" s="4">
        <v>1034617700</v>
      </c>
      <c r="AZ124" s="4">
        <v>1181409800</v>
      </c>
      <c r="BA124" s="4">
        <v>1125549400</v>
      </c>
      <c r="BB124" s="4">
        <v>943389600</v>
      </c>
      <c r="BC124" s="4">
        <v>1083721700</v>
      </c>
      <c r="BD124" s="4">
        <v>1034939500</v>
      </c>
      <c r="BE124" s="4">
        <v>1010033600</v>
      </c>
      <c r="BF124" s="4">
        <v>1043173100</v>
      </c>
      <c r="BG124" s="4">
        <v>1126084100</v>
      </c>
      <c r="BH124" s="4">
        <v>1108952900</v>
      </c>
      <c r="BI124" s="4">
        <v>1032416300</v>
      </c>
      <c r="BJ124" s="4">
        <v>1098654200</v>
      </c>
      <c r="BK124" s="4">
        <v>0</v>
      </c>
      <c r="BL124" s="4">
        <v>0</v>
      </c>
    </row>
    <row r="125" spans="1:64" x14ac:dyDescent="0.25">
      <c r="A125" s="1">
        <v>75</v>
      </c>
      <c r="B125" s="3" t="s">
        <v>100</v>
      </c>
      <c r="C125" s="3" t="s">
        <v>101</v>
      </c>
      <c r="D125" s="3" t="s">
        <v>107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562421500</v>
      </c>
      <c r="R125" s="4">
        <v>1573003900</v>
      </c>
      <c r="S125" s="4">
        <v>1629740200</v>
      </c>
      <c r="T125" s="4">
        <v>1663148100</v>
      </c>
      <c r="U125" s="4">
        <v>1657040400</v>
      </c>
      <c r="V125" s="4">
        <v>1671025900</v>
      </c>
      <c r="W125" s="4">
        <v>1805012500</v>
      </c>
      <c r="X125" s="4">
        <v>1755744800</v>
      </c>
      <c r="Y125" s="4">
        <v>1727640600</v>
      </c>
      <c r="Z125" s="4">
        <v>1826825900</v>
      </c>
      <c r="AA125" s="4">
        <v>1767855100</v>
      </c>
      <c r="AB125" s="4">
        <v>2001144300</v>
      </c>
      <c r="AC125" s="4">
        <v>2000364700</v>
      </c>
      <c r="AD125" s="4">
        <v>1775254400</v>
      </c>
      <c r="AE125" s="4">
        <v>1965043100</v>
      </c>
      <c r="AF125" s="4">
        <v>1878676200</v>
      </c>
      <c r="AG125" s="4">
        <v>1942044100</v>
      </c>
      <c r="AH125" s="4">
        <v>1922827700</v>
      </c>
      <c r="AI125" s="4">
        <v>1937364000</v>
      </c>
      <c r="AJ125" s="4">
        <v>2051155700</v>
      </c>
      <c r="AK125" s="4">
        <v>1961048100</v>
      </c>
      <c r="AL125" s="4">
        <v>2063266800</v>
      </c>
      <c r="AM125" s="4">
        <v>2034221600</v>
      </c>
      <c r="AN125" s="4">
        <v>2292931600</v>
      </c>
      <c r="AO125" s="4">
        <v>2203974100</v>
      </c>
      <c r="AP125" s="4">
        <v>2045686100</v>
      </c>
      <c r="AQ125" s="4">
        <v>2190873500</v>
      </c>
      <c r="AR125" s="4">
        <v>2134828100</v>
      </c>
      <c r="AS125" s="4">
        <v>2143636100</v>
      </c>
      <c r="AT125" s="4">
        <v>2138265000</v>
      </c>
      <c r="AU125" s="4">
        <v>2169933400</v>
      </c>
      <c r="AV125" s="4">
        <v>2169951700</v>
      </c>
      <c r="AW125" s="4">
        <v>2048557900</v>
      </c>
      <c r="AX125" s="4">
        <v>2159636800</v>
      </c>
      <c r="AY125" s="4">
        <v>2147856000</v>
      </c>
      <c r="AZ125" s="4">
        <v>2344888300</v>
      </c>
      <c r="BA125" s="4">
        <v>2300177400</v>
      </c>
      <c r="BB125" s="4">
        <v>2074211300</v>
      </c>
      <c r="BC125" s="4">
        <v>2322009500</v>
      </c>
      <c r="BD125" s="4">
        <v>2200156000</v>
      </c>
      <c r="BE125" s="4">
        <v>2191414900</v>
      </c>
      <c r="BF125" s="4">
        <v>2060644400</v>
      </c>
      <c r="BG125" s="4">
        <v>2228012300</v>
      </c>
      <c r="BH125" s="4">
        <v>2241156800</v>
      </c>
      <c r="BI125" s="4">
        <v>2191783100</v>
      </c>
      <c r="BJ125" s="4">
        <v>2316656300</v>
      </c>
      <c r="BK125" s="4">
        <v>2308250800</v>
      </c>
      <c r="BL125" s="4">
        <v>2511964300</v>
      </c>
    </row>
    <row r="126" spans="1:64" x14ac:dyDescent="0.25">
      <c r="A126" s="1">
        <v>156</v>
      </c>
      <c r="B126" s="3" t="s">
        <v>228</v>
      </c>
      <c r="C126" s="3" t="s">
        <v>229</v>
      </c>
      <c r="D126" s="3" t="s">
        <v>234</v>
      </c>
      <c r="E126" s="4">
        <v>1029937850</v>
      </c>
      <c r="F126" s="4">
        <v>673729000</v>
      </c>
      <c r="G126" s="4">
        <v>715537800</v>
      </c>
      <c r="H126" s="4">
        <v>869490850</v>
      </c>
      <c r="I126" s="4">
        <v>1266469650</v>
      </c>
      <c r="J126" s="4">
        <v>947903750</v>
      </c>
      <c r="K126" s="4">
        <v>801386600</v>
      </c>
      <c r="L126" s="4">
        <v>795851900</v>
      </c>
      <c r="M126" s="4">
        <v>709812600</v>
      </c>
      <c r="N126" s="4">
        <v>853537150</v>
      </c>
      <c r="O126" s="4">
        <v>931521150</v>
      </c>
      <c r="P126" s="4">
        <v>980604350</v>
      </c>
      <c r="Q126" s="4">
        <v>1119695450</v>
      </c>
      <c r="R126" s="4">
        <v>692883950</v>
      </c>
      <c r="S126" s="4">
        <v>761013200</v>
      </c>
      <c r="T126" s="4">
        <v>852492800</v>
      </c>
      <c r="U126" s="4">
        <v>772460000</v>
      </c>
      <c r="V126" s="4">
        <v>937617900</v>
      </c>
      <c r="W126" s="4">
        <v>924635500</v>
      </c>
      <c r="X126" s="4">
        <v>911317600</v>
      </c>
      <c r="Y126" s="4">
        <v>774249900</v>
      </c>
      <c r="Z126" s="4">
        <v>949282703</v>
      </c>
      <c r="AA126" s="4">
        <v>848444800</v>
      </c>
      <c r="AB126" s="4">
        <v>1070398400</v>
      </c>
      <c r="AC126" s="4">
        <v>1208102600</v>
      </c>
      <c r="AD126" s="4">
        <v>769396400</v>
      </c>
      <c r="AE126" s="4">
        <v>1011397000</v>
      </c>
      <c r="AF126" s="4">
        <v>760608500</v>
      </c>
      <c r="AG126" s="4">
        <v>882574500</v>
      </c>
      <c r="AH126" s="4">
        <v>857996700</v>
      </c>
      <c r="AI126" s="4">
        <v>845144900</v>
      </c>
      <c r="AJ126" s="4">
        <v>929338500</v>
      </c>
      <c r="AK126" s="4">
        <v>815046100</v>
      </c>
      <c r="AL126" s="4">
        <v>979714000</v>
      </c>
      <c r="AM126" s="4">
        <v>942859400</v>
      </c>
      <c r="AN126" s="4">
        <v>1110589000</v>
      </c>
      <c r="AO126" s="4">
        <v>1277161300</v>
      </c>
      <c r="AP126" s="4">
        <v>819098700</v>
      </c>
      <c r="AQ126" s="4">
        <v>910888600</v>
      </c>
      <c r="AR126" s="4">
        <v>1051131800</v>
      </c>
      <c r="AS126" s="4">
        <v>896587700</v>
      </c>
      <c r="AT126" s="4">
        <v>970433800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</row>
    <row r="127" spans="1:64" x14ac:dyDescent="0.25">
      <c r="A127" s="1">
        <v>4</v>
      </c>
      <c r="B127" s="3" t="s">
        <v>4</v>
      </c>
      <c r="C127" s="3" t="s">
        <v>5</v>
      </c>
      <c r="D127" s="3" t="s">
        <v>9</v>
      </c>
      <c r="E127" s="4">
        <v>807324200</v>
      </c>
      <c r="F127" s="4">
        <v>638320900</v>
      </c>
      <c r="G127" s="4">
        <v>745710100</v>
      </c>
      <c r="H127" s="4">
        <v>756241900</v>
      </c>
      <c r="I127" s="4">
        <v>721278600</v>
      </c>
      <c r="J127" s="4">
        <v>753143500</v>
      </c>
      <c r="K127" s="4">
        <v>753435800</v>
      </c>
      <c r="L127" s="4">
        <v>787372400</v>
      </c>
      <c r="M127" s="4">
        <v>696277900</v>
      </c>
      <c r="N127" s="4">
        <v>758577400</v>
      </c>
      <c r="O127" s="4">
        <v>765755600</v>
      </c>
      <c r="P127" s="4">
        <v>939977700</v>
      </c>
      <c r="Q127" s="4">
        <v>906686500</v>
      </c>
      <c r="R127" s="4">
        <v>673874400</v>
      </c>
      <c r="S127" s="4">
        <v>746923100</v>
      </c>
      <c r="T127" s="4">
        <v>791586400</v>
      </c>
      <c r="U127" s="4">
        <v>807053650</v>
      </c>
      <c r="V127" s="4">
        <v>862202550</v>
      </c>
      <c r="W127" s="4">
        <v>866428600</v>
      </c>
      <c r="X127" s="4">
        <v>863599600</v>
      </c>
      <c r="Y127" s="4">
        <v>786856100</v>
      </c>
      <c r="Z127" s="4">
        <v>854764300</v>
      </c>
      <c r="AA127" s="4">
        <v>829138700</v>
      </c>
      <c r="AB127" s="4">
        <v>1056851500</v>
      </c>
      <c r="AC127" s="4">
        <v>1025435600</v>
      </c>
      <c r="AD127" s="4">
        <v>782294900</v>
      </c>
      <c r="AE127" s="4">
        <v>923841000</v>
      </c>
      <c r="AF127" s="4">
        <v>787491600</v>
      </c>
      <c r="AG127" s="4">
        <v>901304700</v>
      </c>
      <c r="AH127" s="4">
        <v>851650800</v>
      </c>
      <c r="AI127" s="4">
        <v>943822100</v>
      </c>
      <c r="AJ127" s="4">
        <v>969326650</v>
      </c>
      <c r="AK127" s="4">
        <v>875512800</v>
      </c>
      <c r="AL127" s="4">
        <v>969258150</v>
      </c>
      <c r="AM127" s="4">
        <v>939378700</v>
      </c>
      <c r="AN127" s="4">
        <v>1174154700</v>
      </c>
      <c r="AO127" s="4">
        <v>1164878250</v>
      </c>
      <c r="AP127" s="4">
        <v>866150000</v>
      </c>
      <c r="AQ127" s="4">
        <v>935200400</v>
      </c>
      <c r="AR127" s="4">
        <v>898458900</v>
      </c>
      <c r="AS127" s="4">
        <v>882353150</v>
      </c>
      <c r="AT127" s="4">
        <v>979398100</v>
      </c>
      <c r="AU127" s="4">
        <v>1058363350</v>
      </c>
      <c r="AV127" s="4">
        <v>1014316950</v>
      </c>
      <c r="AW127" s="4">
        <v>909445900</v>
      </c>
      <c r="AX127" s="4">
        <v>980525050</v>
      </c>
      <c r="AY127" s="4">
        <v>973853500</v>
      </c>
      <c r="AZ127" s="4">
        <v>1217305300</v>
      </c>
      <c r="BA127" s="4">
        <v>1004673650</v>
      </c>
      <c r="BB127" s="4">
        <v>512294600</v>
      </c>
      <c r="BC127" s="4">
        <v>787570000</v>
      </c>
      <c r="BD127" s="4">
        <v>745732650</v>
      </c>
      <c r="BE127" s="4">
        <v>682533450</v>
      </c>
      <c r="BF127" s="4">
        <v>628437400</v>
      </c>
      <c r="BG127" s="4">
        <v>776425900</v>
      </c>
      <c r="BH127" s="4">
        <v>772941500</v>
      </c>
      <c r="BI127" s="4">
        <v>742532950</v>
      </c>
      <c r="BJ127" s="4">
        <v>822623350</v>
      </c>
      <c r="BK127" s="4">
        <v>837985800</v>
      </c>
      <c r="BL127" s="4">
        <v>1058718950</v>
      </c>
    </row>
    <row r="128" spans="1:64" x14ac:dyDescent="0.25">
      <c r="A128" s="1">
        <v>121</v>
      </c>
      <c r="B128" s="3" t="s">
        <v>177</v>
      </c>
      <c r="C128" s="3" t="s">
        <v>178</v>
      </c>
      <c r="D128" s="3" t="s">
        <v>183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</row>
    <row r="129" spans="1:64" x14ac:dyDescent="0.25">
      <c r="A129" s="1">
        <v>108</v>
      </c>
      <c r="B129" s="3" t="s">
        <v>166</v>
      </c>
      <c r="C129" s="3" t="s">
        <v>167</v>
      </c>
      <c r="D129" s="3" t="s">
        <v>169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1748023400</v>
      </c>
      <c r="AJ129" s="4">
        <v>1695942450</v>
      </c>
      <c r="AK129" s="4">
        <v>1593378200</v>
      </c>
      <c r="AL129" s="4">
        <v>1791859100</v>
      </c>
      <c r="AM129" s="4">
        <v>1660905200</v>
      </c>
      <c r="AN129" s="4">
        <v>2119734528</v>
      </c>
      <c r="AO129" s="4">
        <v>2097589250</v>
      </c>
      <c r="AP129" s="4">
        <v>1609127450</v>
      </c>
      <c r="AQ129" s="4">
        <v>1772398400</v>
      </c>
      <c r="AR129" s="4">
        <v>1954679900</v>
      </c>
      <c r="AS129" s="4">
        <v>1638329300</v>
      </c>
      <c r="AT129" s="4">
        <v>1891626300</v>
      </c>
      <c r="AU129" s="4">
        <v>1981341750</v>
      </c>
      <c r="AV129" s="4">
        <v>1838369500</v>
      </c>
      <c r="AW129" s="4">
        <v>1720362100</v>
      </c>
      <c r="AX129" s="4">
        <v>1878220700</v>
      </c>
      <c r="AY129" s="4">
        <v>1902702500</v>
      </c>
      <c r="AZ129" s="4">
        <v>2471531500</v>
      </c>
      <c r="BA129" s="4">
        <v>1975223400</v>
      </c>
      <c r="BB129" s="4">
        <v>1686556800</v>
      </c>
      <c r="BC129" s="4">
        <v>2148234600</v>
      </c>
      <c r="BD129" s="4">
        <v>1722756300</v>
      </c>
      <c r="BE129" s="4">
        <v>1894166600</v>
      </c>
      <c r="BF129" s="4">
        <v>2661981900</v>
      </c>
      <c r="BG129" s="4">
        <v>2077614300</v>
      </c>
      <c r="BH129" s="4">
        <v>1945408300</v>
      </c>
      <c r="BI129" s="4">
        <v>1852019300</v>
      </c>
      <c r="BJ129" s="4">
        <v>2064759100</v>
      </c>
      <c r="BK129" s="4">
        <v>1990148700</v>
      </c>
      <c r="BL129" s="4">
        <v>2620090900</v>
      </c>
    </row>
    <row r="130" spans="1:64" x14ac:dyDescent="0.25">
      <c r="A130" s="1">
        <v>127</v>
      </c>
      <c r="B130" s="3" t="s">
        <v>189</v>
      </c>
      <c r="C130" s="3" t="s">
        <v>190</v>
      </c>
      <c r="D130" s="3" t="s">
        <v>193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>
        <v>0</v>
      </c>
      <c r="AD130" s="4">
        <v>0</v>
      </c>
      <c r="AE130" s="4">
        <v>0</v>
      </c>
      <c r="AF130" s="4">
        <v>0</v>
      </c>
      <c r="AG130" s="4">
        <v>152967800</v>
      </c>
      <c r="AH130" s="4">
        <v>571917750</v>
      </c>
      <c r="AI130" s="4">
        <v>563505400</v>
      </c>
      <c r="AJ130" s="4">
        <v>568048650</v>
      </c>
      <c r="AK130" s="4">
        <v>534229300</v>
      </c>
      <c r="AL130" s="4">
        <v>527331750</v>
      </c>
      <c r="AM130" s="4">
        <v>522577200</v>
      </c>
      <c r="AN130" s="4">
        <v>627138150</v>
      </c>
      <c r="AO130" s="4">
        <v>588604200</v>
      </c>
      <c r="AP130" s="4">
        <v>527284950</v>
      </c>
      <c r="AQ130" s="4">
        <v>588298650</v>
      </c>
      <c r="AR130" s="4">
        <v>558969150</v>
      </c>
      <c r="AS130" s="4">
        <v>559804300</v>
      </c>
      <c r="AT130" s="4">
        <v>581472550</v>
      </c>
      <c r="AU130" s="4">
        <v>608230300</v>
      </c>
      <c r="AV130" s="4">
        <v>596988650</v>
      </c>
      <c r="AW130" s="4">
        <v>562001000</v>
      </c>
      <c r="AX130" s="4">
        <v>590875450</v>
      </c>
      <c r="AY130" s="4">
        <v>582182150</v>
      </c>
      <c r="AZ130" s="4">
        <v>687253900</v>
      </c>
      <c r="BA130" s="4">
        <v>659413800</v>
      </c>
      <c r="BB130" s="4">
        <v>369167400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</row>
    <row r="131" spans="1:64" x14ac:dyDescent="0.25">
      <c r="A131" s="1">
        <v>128</v>
      </c>
      <c r="B131" s="3" t="s">
        <v>189</v>
      </c>
      <c r="C131" s="3" t="s">
        <v>190</v>
      </c>
      <c r="D131" s="3" t="s">
        <v>194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831739100</v>
      </c>
      <c r="Y131" s="4">
        <v>717684100</v>
      </c>
      <c r="Z131" s="4">
        <v>735774900</v>
      </c>
      <c r="AA131" s="4">
        <v>721036400</v>
      </c>
      <c r="AB131" s="4">
        <v>865501550</v>
      </c>
      <c r="AC131" s="4">
        <v>871764500</v>
      </c>
      <c r="AD131" s="4">
        <v>766846600</v>
      </c>
      <c r="AE131" s="4">
        <v>865550400</v>
      </c>
      <c r="AF131" s="4">
        <v>820317300</v>
      </c>
      <c r="AG131" s="4">
        <v>835288800</v>
      </c>
      <c r="AH131" s="4">
        <v>964126800</v>
      </c>
      <c r="AI131" s="4">
        <v>1015191700</v>
      </c>
      <c r="AJ131" s="4">
        <v>1012952100</v>
      </c>
      <c r="AK131" s="4">
        <v>961454800</v>
      </c>
      <c r="AL131" s="4">
        <v>980405400</v>
      </c>
      <c r="AM131" s="4">
        <v>971887450</v>
      </c>
      <c r="AN131" s="4">
        <v>1117228300</v>
      </c>
      <c r="AO131" s="4">
        <v>1097172250</v>
      </c>
      <c r="AP131" s="4">
        <v>963106400</v>
      </c>
      <c r="AQ131" s="4">
        <v>1106010500</v>
      </c>
      <c r="AR131" s="4">
        <v>1095005250</v>
      </c>
      <c r="AS131" s="4">
        <v>1113768700</v>
      </c>
      <c r="AT131" s="4">
        <v>1150816050</v>
      </c>
      <c r="AU131" s="4">
        <v>1222118700</v>
      </c>
      <c r="AV131" s="4">
        <v>1199368800</v>
      </c>
      <c r="AW131" s="4">
        <v>1188429200</v>
      </c>
      <c r="AX131" s="4">
        <v>1246199700</v>
      </c>
      <c r="AY131" s="4">
        <v>1215070400</v>
      </c>
      <c r="AZ131" s="4">
        <v>1431599100</v>
      </c>
      <c r="BA131" s="4">
        <v>1378342800</v>
      </c>
      <c r="BB131" s="4">
        <v>761020500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</row>
    <row r="132" spans="1:64" x14ac:dyDescent="0.25">
      <c r="A132" s="1">
        <v>122</v>
      </c>
      <c r="B132" s="3" t="s">
        <v>177</v>
      </c>
      <c r="C132" s="3" t="s">
        <v>178</v>
      </c>
      <c r="D132" s="3" t="s">
        <v>184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87945800</v>
      </c>
      <c r="AB132" s="4">
        <v>707714000</v>
      </c>
      <c r="AC132" s="4">
        <v>774410000</v>
      </c>
      <c r="AD132" s="4">
        <v>628462200</v>
      </c>
      <c r="AE132" s="4">
        <v>733209500</v>
      </c>
      <c r="AF132" s="4">
        <v>608805500</v>
      </c>
      <c r="AG132" s="4">
        <v>656454000</v>
      </c>
      <c r="AH132" s="4">
        <v>614601000</v>
      </c>
      <c r="AI132" s="4">
        <v>635451600</v>
      </c>
      <c r="AJ132" s="4">
        <v>1019690600</v>
      </c>
      <c r="AK132" s="4">
        <v>930378800</v>
      </c>
      <c r="AL132" s="4">
        <v>907357200</v>
      </c>
      <c r="AM132" s="4">
        <v>888135200</v>
      </c>
      <c r="AN132" s="4">
        <v>1033337300</v>
      </c>
      <c r="AO132" s="4">
        <v>1122703000</v>
      </c>
      <c r="AP132" s="4">
        <v>866742000</v>
      </c>
      <c r="AQ132" s="4">
        <v>973912200</v>
      </c>
      <c r="AR132" s="4">
        <v>1114992000</v>
      </c>
      <c r="AS132" s="4">
        <v>969873400</v>
      </c>
      <c r="AT132" s="4">
        <v>1040132700</v>
      </c>
      <c r="AU132" s="4">
        <v>1011385400</v>
      </c>
      <c r="AV132" s="4">
        <v>976759400</v>
      </c>
      <c r="AW132" s="4">
        <v>953471700</v>
      </c>
      <c r="AX132" s="4">
        <v>953694100</v>
      </c>
      <c r="AY132" s="4">
        <v>950461400</v>
      </c>
      <c r="AZ132" s="4">
        <v>1123330900</v>
      </c>
      <c r="BA132" s="4">
        <v>1236633100</v>
      </c>
      <c r="BB132" s="4">
        <v>960229400</v>
      </c>
      <c r="BC132" s="4">
        <v>1122183400</v>
      </c>
      <c r="BD132" s="4">
        <v>1105495800</v>
      </c>
      <c r="BE132" s="4">
        <v>1037629000</v>
      </c>
      <c r="BF132" s="4">
        <v>1035941000</v>
      </c>
      <c r="BG132" s="4">
        <v>1108288800</v>
      </c>
      <c r="BH132" s="4">
        <v>1069565000</v>
      </c>
      <c r="BI132" s="4">
        <v>991343700</v>
      </c>
      <c r="BJ132" s="4">
        <v>1042339900</v>
      </c>
      <c r="BK132" s="4">
        <v>1012341200</v>
      </c>
      <c r="BL132" s="4">
        <v>1234068700</v>
      </c>
    </row>
    <row r="133" spans="1:64" x14ac:dyDescent="0.25">
      <c r="A133" s="1">
        <v>150</v>
      </c>
      <c r="B133" s="3" t="s">
        <v>225</v>
      </c>
      <c r="C133" s="3" t="s">
        <v>226</v>
      </c>
      <c r="D133" s="3" t="s">
        <v>227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711002600</v>
      </c>
      <c r="Z133" s="4">
        <v>879869900</v>
      </c>
      <c r="AA133" s="4">
        <v>829846100</v>
      </c>
      <c r="AB133" s="4">
        <v>859041700</v>
      </c>
      <c r="AC133" s="4">
        <v>855126200</v>
      </c>
      <c r="AD133" s="4">
        <v>747969900</v>
      </c>
      <c r="AE133" s="4">
        <v>833619100</v>
      </c>
      <c r="AF133" s="4">
        <v>761539300</v>
      </c>
      <c r="AG133" s="4">
        <v>763046000</v>
      </c>
      <c r="AH133" s="4">
        <v>794948400</v>
      </c>
      <c r="AI133" s="4">
        <v>790850200</v>
      </c>
      <c r="AJ133" s="4">
        <v>885257600</v>
      </c>
      <c r="AK133" s="4">
        <v>831770700</v>
      </c>
      <c r="AL133" s="4">
        <v>845479300</v>
      </c>
      <c r="AM133" s="4">
        <v>832910000</v>
      </c>
      <c r="AN133" s="4">
        <v>916746400</v>
      </c>
      <c r="AO133" s="4">
        <v>946494600</v>
      </c>
      <c r="AP133" s="4">
        <v>789358800</v>
      </c>
      <c r="AQ133" s="4">
        <v>920208400</v>
      </c>
      <c r="AR133" s="4">
        <v>939085100</v>
      </c>
      <c r="AS133" s="4">
        <v>984774800</v>
      </c>
      <c r="AT133" s="4">
        <v>917259450</v>
      </c>
      <c r="AU133" s="4">
        <v>928009500</v>
      </c>
      <c r="AV133" s="4">
        <v>1123273400</v>
      </c>
      <c r="AW133" s="4">
        <v>1126174400</v>
      </c>
      <c r="AX133" s="4">
        <v>984900600</v>
      </c>
      <c r="AY133" s="4">
        <v>973390200</v>
      </c>
      <c r="AZ133" s="4">
        <v>1053106000</v>
      </c>
      <c r="BA133" s="4">
        <v>1040651800</v>
      </c>
      <c r="BB133" s="4">
        <v>873915400</v>
      </c>
      <c r="BC133" s="4">
        <v>974299800</v>
      </c>
      <c r="BD133" s="4">
        <v>958475400</v>
      </c>
      <c r="BE133" s="4">
        <v>1050638200</v>
      </c>
      <c r="BF133" s="4">
        <v>1018936700</v>
      </c>
      <c r="BG133" s="4">
        <v>1084161600</v>
      </c>
      <c r="BH133" s="4">
        <v>1194884800</v>
      </c>
      <c r="BI133" s="4">
        <v>1087298100</v>
      </c>
      <c r="BJ133" s="4">
        <v>1032662900</v>
      </c>
      <c r="BK133" s="4">
        <v>1067705500</v>
      </c>
      <c r="BL133" s="4">
        <v>1174569250</v>
      </c>
    </row>
    <row r="134" spans="1:64" x14ac:dyDescent="0.25">
      <c r="A134" s="1">
        <v>5</v>
      </c>
      <c r="B134" s="3" t="s">
        <v>4</v>
      </c>
      <c r="C134" s="3" t="s">
        <v>5</v>
      </c>
      <c r="D134" s="3" t="s">
        <v>10</v>
      </c>
      <c r="E134" s="4">
        <v>1438841400</v>
      </c>
      <c r="F134" s="4">
        <v>1116925900</v>
      </c>
      <c r="G134" s="4">
        <v>1258975800</v>
      </c>
      <c r="H134" s="4">
        <v>1382158750</v>
      </c>
      <c r="I134" s="4">
        <v>1336247300</v>
      </c>
      <c r="J134" s="4">
        <v>1326693550</v>
      </c>
      <c r="K134" s="4">
        <v>1416067400</v>
      </c>
      <c r="L134" s="4">
        <v>1422343900</v>
      </c>
      <c r="M134" s="4">
        <v>1297898950</v>
      </c>
      <c r="N134" s="4">
        <v>1451722050</v>
      </c>
      <c r="O134" s="4">
        <v>1403824300</v>
      </c>
      <c r="P134" s="4">
        <v>1586591200</v>
      </c>
      <c r="Q134" s="4">
        <v>1739426700</v>
      </c>
      <c r="R134" s="4">
        <v>1304248400</v>
      </c>
      <c r="S134" s="4">
        <v>1263388650</v>
      </c>
      <c r="T134" s="4">
        <v>1496132400</v>
      </c>
      <c r="U134" s="4">
        <v>1430551750</v>
      </c>
      <c r="V134" s="4">
        <v>1522583600</v>
      </c>
      <c r="W134" s="4">
        <v>1573456100</v>
      </c>
      <c r="X134" s="4">
        <v>1591517200</v>
      </c>
      <c r="Y134" s="4">
        <v>1482324900</v>
      </c>
      <c r="Z134" s="4">
        <v>1588448550</v>
      </c>
      <c r="AA134" s="4">
        <v>1509641700</v>
      </c>
      <c r="AB134" s="4">
        <v>1780366050</v>
      </c>
      <c r="AC134" s="4">
        <v>1909011050</v>
      </c>
      <c r="AD134" s="4">
        <v>1457632300</v>
      </c>
      <c r="AE134" s="4">
        <v>1749069850</v>
      </c>
      <c r="AF134" s="4">
        <v>1418827800</v>
      </c>
      <c r="AG134" s="4">
        <v>1553020500</v>
      </c>
      <c r="AH134" s="4">
        <v>1337361550</v>
      </c>
      <c r="AI134" s="4">
        <v>1426173000</v>
      </c>
      <c r="AJ134" s="4">
        <v>1884098100</v>
      </c>
      <c r="AK134" s="4">
        <v>1564136050</v>
      </c>
      <c r="AL134" s="4">
        <v>1661897750</v>
      </c>
      <c r="AM134" s="4">
        <v>1563744100</v>
      </c>
      <c r="AN134" s="4">
        <v>1807995450</v>
      </c>
      <c r="AO134" s="4">
        <v>1943588550</v>
      </c>
      <c r="AP134" s="4">
        <v>1443673000</v>
      </c>
      <c r="AQ134" s="4">
        <v>1533398800</v>
      </c>
      <c r="AR134" s="4">
        <v>1649211550</v>
      </c>
      <c r="AS134" s="4">
        <v>1429705200</v>
      </c>
      <c r="AT134" s="4">
        <v>1699698200</v>
      </c>
      <c r="AU134" s="4">
        <v>1708071700</v>
      </c>
      <c r="AV134" s="4">
        <v>1723681450</v>
      </c>
      <c r="AW134" s="4">
        <v>1575441400</v>
      </c>
      <c r="AX134" s="4">
        <v>1675976600</v>
      </c>
      <c r="AY134" s="4">
        <v>1619146100</v>
      </c>
      <c r="AZ134" s="4">
        <v>1836401200</v>
      </c>
      <c r="BA134" s="4">
        <v>1280487850</v>
      </c>
      <c r="BB134" s="4">
        <v>161118900</v>
      </c>
      <c r="BC134" s="4">
        <v>739616950</v>
      </c>
      <c r="BD134" s="4">
        <v>1108756950</v>
      </c>
      <c r="BE134" s="4">
        <v>950100100</v>
      </c>
      <c r="BF134" s="4">
        <v>867523700</v>
      </c>
      <c r="BG134" s="4">
        <v>1134173550</v>
      </c>
      <c r="BH134" s="4">
        <v>1170848650</v>
      </c>
      <c r="BI134" s="4">
        <v>1063057700</v>
      </c>
      <c r="BJ134" s="4">
        <v>1135105100</v>
      </c>
      <c r="BK134" s="4">
        <v>1093613250</v>
      </c>
      <c r="BL134" s="4">
        <v>1402448000</v>
      </c>
    </row>
    <row r="135" spans="1:64" x14ac:dyDescent="0.25">
      <c r="A135" s="1">
        <v>9</v>
      </c>
      <c r="B135" s="3" t="s">
        <v>13</v>
      </c>
      <c r="C135" s="3" t="s">
        <v>14</v>
      </c>
      <c r="D135" s="3" t="s">
        <v>16</v>
      </c>
      <c r="E135" s="4">
        <v>4719395200</v>
      </c>
      <c r="F135" s="4">
        <v>3662872500</v>
      </c>
      <c r="G135" s="4">
        <v>4226490000</v>
      </c>
      <c r="H135" s="4">
        <v>4340369900</v>
      </c>
      <c r="I135" s="4">
        <v>4079749900</v>
      </c>
      <c r="J135" s="4">
        <v>4350275800</v>
      </c>
      <c r="K135" s="4">
        <v>4256612800</v>
      </c>
      <c r="L135" s="4">
        <v>4576705500</v>
      </c>
      <c r="M135" s="4">
        <v>4111114200</v>
      </c>
      <c r="N135" s="4">
        <v>4548063800</v>
      </c>
      <c r="O135" s="4">
        <v>4294485700</v>
      </c>
      <c r="P135" s="4">
        <v>5159052900</v>
      </c>
      <c r="Q135" s="4">
        <v>5082671600</v>
      </c>
      <c r="R135" s="4">
        <v>4010358300</v>
      </c>
      <c r="S135" s="4">
        <v>4677618300</v>
      </c>
      <c r="T135" s="4">
        <v>4513036400</v>
      </c>
      <c r="U135" s="4">
        <v>4747271500</v>
      </c>
      <c r="V135" s="4">
        <v>4859452700</v>
      </c>
      <c r="W135" s="4">
        <v>4901196100</v>
      </c>
      <c r="X135" s="4">
        <v>5100757300</v>
      </c>
      <c r="Y135" s="4">
        <v>4597431500</v>
      </c>
      <c r="Z135" s="4">
        <v>5125226600</v>
      </c>
      <c r="AA135" s="4">
        <v>4953879600</v>
      </c>
      <c r="AB135" s="4">
        <v>5765132200</v>
      </c>
      <c r="AC135" s="4">
        <v>5765465800</v>
      </c>
      <c r="AD135" s="4">
        <v>4637033700</v>
      </c>
      <c r="AE135" s="4">
        <v>5428431300</v>
      </c>
      <c r="AF135" s="4">
        <v>4849502500</v>
      </c>
      <c r="AG135" s="4">
        <v>5272959500</v>
      </c>
      <c r="AH135" s="4">
        <v>5275830900</v>
      </c>
      <c r="AI135" s="4">
        <v>5715199200</v>
      </c>
      <c r="AJ135" s="4">
        <v>5382663500</v>
      </c>
      <c r="AK135" s="4">
        <v>4874961500</v>
      </c>
      <c r="AL135" s="4">
        <v>5387707900</v>
      </c>
      <c r="AM135" s="4">
        <v>5121574700</v>
      </c>
      <c r="AN135" s="4">
        <v>5885660300</v>
      </c>
      <c r="AO135" s="4">
        <v>5972806000</v>
      </c>
      <c r="AP135" s="4">
        <v>4650096500</v>
      </c>
      <c r="AQ135" s="4">
        <v>5214721500</v>
      </c>
      <c r="AR135" s="4">
        <v>5539743000</v>
      </c>
      <c r="AS135" s="4">
        <v>5366524700</v>
      </c>
      <c r="AT135" s="4">
        <v>5569427400</v>
      </c>
      <c r="AU135" s="4">
        <v>5765286900</v>
      </c>
      <c r="AV135" s="4">
        <v>5741485500</v>
      </c>
      <c r="AW135" s="4">
        <v>5198974300</v>
      </c>
      <c r="AX135" s="4">
        <v>5837034200</v>
      </c>
      <c r="AY135" s="4">
        <v>5690321000</v>
      </c>
      <c r="AZ135" s="4">
        <v>6650441200</v>
      </c>
      <c r="BA135" s="4">
        <v>6544320100</v>
      </c>
      <c r="BB135" s="4">
        <v>5119903100</v>
      </c>
      <c r="BC135" s="4">
        <v>6072689200</v>
      </c>
      <c r="BD135" s="4">
        <v>5539762400</v>
      </c>
      <c r="BE135" s="4">
        <v>5688328100</v>
      </c>
      <c r="BF135" s="4">
        <v>6033830200</v>
      </c>
      <c r="BG135" s="4">
        <v>6338876200</v>
      </c>
      <c r="BH135" s="4">
        <v>6214521600</v>
      </c>
      <c r="BI135" s="4">
        <v>5754896300</v>
      </c>
      <c r="BJ135" s="4">
        <v>6142474200</v>
      </c>
      <c r="BK135" s="4">
        <v>6031481900</v>
      </c>
      <c r="BL135" s="4">
        <v>7088451900</v>
      </c>
    </row>
    <row r="136" spans="1:64" x14ac:dyDescent="0.25">
      <c r="A136" s="1">
        <v>100</v>
      </c>
      <c r="B136" s="3" t="s">
        <v>147</v>
      </c>
      <c r="C136" s="3" t="s">
        <v>148</v>
      </c>
      <c r="D136" s="3" t="s">
        <v>150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1410480550</v>
      </c>
      <c r="Q136" s="4">
        <v>1513718700</v>
      </c>
      <c r="R136" s="4">
        <v>1109644700</v>
      </c>
      <c r="S136" s="4">
        <v>1139076600</v>
      </c>
      <c r="T136" s="4">
        <v>1311987300</v>
      </c>
      <c r="U136" s="4">
        <v>1256095000</v>
      </c>
      <c r="V136" s="4">
        <v>1364996750</v>
      </c>
      <c r="W136" s="4">
        <v>1377348000</v>
      </c>
      <c r="X136" s="4">
        <v>1397112550</v>
      </c>
      <c r="Y136" s="4">
        <v>1276416200</v>
      </c>
      <c r="Z136" s="4">
        <v>1391136600</v>
      </c>
      <c r="AA136" s="4">
        <v>1320378850</v>
      </c>
      <c r="AB136" s="4">
        <v>1586126800</v>
      </c>
      <c r="AC136" s="4">
        <v>1678198300</v>
      </c>
      <c r="AD136" s="4">
        <v>1287495600</v>
      </c>
      <c r="AE136" s="4">
        <v>1632792100</v>
      </c>
      <c r="AF136" s="4">
        <v>1244140800</v>
      </c>
      <c r="AG136" s="4">
        <v>1391049800</v>
      </c>
      <c r="AH136" s="4">
        <v>1285020550</v>
      </c>
      <c r="AI136" s="4">
        <v>1348107650</v>
      </c>
      <c r="AJ136" s="4">
        <v>1684426700</v>
      </c>
      <c r="AK136" s="4">
        <v>1388411800</v>
      </c>
      <c r="AL136" s="4">
        <v>1509300800</v>
      </c>
      <c r="AM136" s="4">
        <v>1425312900</v>
      </c>
      <c r="AN136" s="4">
        <v>1658323650</v>
      </c>
      <c r="AO136" s="4">
        <v>1785288700</v>
      </c>
      <c r="AP136" s="4">
        <v>1316657100</v>
      </c>
      <c r="AQ136" s="4">
        <v>1420445600</v>
      </c>
      <c r="AR136" s="4">
        <v>1534411600</v>
      </c>
      <c r="AS136" s="4">
        <v>1358152200</v>
      </c>
      <c r="AT136" s="4">
        <v>1599397600</v>
      </c>
      <c r="AU136" s="4">
        <v>1614059050</v>
      </c>
      <c r="AV136" s="4">
        <v>1606194200</v>
      </c>
      <c r="AW136" s="4">
        <v>1450118300</v>
      </c>
      <c r="AX136" s="4">
        <v>1558421600</v>
      </c>
      <c r="AY136" s="4">
        <v>1500476100</v>
      </c>
      <c r="AZ136" s="4">
        <v>1773492200</v>
      </c>
      <c r="BA136" s="4">
        <v>1829564100</v>
      </c>
      <c r="BB136" s="4">
        <v>1287506650</v>
      </c>
      <c r="BC136" s="4">
        <v>1562051900</v>
      </c>
      <c r="BD136" s="4">
        <v>1523962200</v>
      </c>
      <c r="BE136" s="4">
        <v>1431515450</v>
      </c>
      <c r="BF136" s="4">
        <v>1517011900</v>
      </c>
      <c r="BG136" s="4">
        <v>1685058200</v>
      </c>
      <c r="BH136" s="4">
        <v>1707068800</v>
      </c>
      <c r="BI136" s="4">
        <v>1513722200</v>
      </c>
      <c r="BJ136" s="4">
        <v>1687263000</v>
      </c>
      <c r="BK136" s="4">
        <v>1565602600</v>
      </c>
      <c r="BL136" s="4">
        <v>1798597650</v>
      </c>
    </row>
    <row r="137" spans="1:64" s="10" customFormat="1" x14ac:dyDescent="0.25">
      <c r="A137" s="8">
        <v>6</v>
      </c>
      <c r="B137" s="8" t="s">
        <v>4</v>
      </c>
      <c r="C137" s="8" t="s">
        <v>5</v>
      </c>
      <c r="D137" s="8" t="s">
        <v>11</v>
      </c>
      <c r="E137" s="11">
        <v>1205711000</v>
      </c>
      <c r="F137" s="11">
        <v>1034625000</v>
      </c>
      <c r="G137" s="11">
        <v>1142063150</v>
      </c>
      <c r="H137" s="11">
        <v>1138920800</v>
      </c>
      <c r="I137" s="11">
        <v>1201034000</v>
      </c>
      <c r="J137" s="11">
        <v>1125628000</v>
      </c>
      <c r="K137" s="11">
        <v>1233613900</v>
      </c>
      <c r="L137" s="11">
        <v>1216605100</v>
      </c>
      <c r="M137" s="11">
        <v>1189108300</v>
      </c>
      <c r="N137" s="11">
        <v>1286743800</v>
      </c>
      <c r="O137" s="11">
        <v>1224019450</v>
      </c>
      <c r="P137" s="11">
        <v>1248678200</v>
      </c>
      <c r="Q137" s="11">
        <v>1384247500</v>
      </c>
      <c r="R137" s="11">
        <v>1172300800</v>
      </c>
      <c r="S137" s="11">
        <v>1085539050</v>
      </c>
      <c r="T137" s="11">
        <v>1252166750</v>
      </c>
      <c r="U137" s="11">
        <v>1235950500</v>
      </c>
      <c r="V137" s="11">
        <v>1226242500</v>
      </c>
      <c r="W137" s="11">
        <v>1365940250</v>
      </c>
      <c r="X137" s="11">
        <v>1350154950</v>
      </c>
      <c r="Y137" s="11">
        <v>1393617500</v>
      </c>
      <c r="Z137" s="11">
        <v>1482769600</v>
      </c>
      <c r="AA137" s="11">
        <v>1453846100</v>
      </c>
      <c r="AB137" s="11">
        <v>1478692900</v>
      </c>
      <c r="AC137" s="11">
        <v>1637781500</v>
      </c>
      <c r="AD137" s="11">
        <v>1410076200</v>
      </c>
      <c r="AE137" s="11">
        <v>1499270100</v>
      </c>
      <c r="AF137" s="11">
        <v>1404723650</v>
      </c>
      <c r="AG137" s="11">
        <v>1447546650</v>
      </c>
      <c r="AH137" s="11">
        <v>1196914350</v>
      </c>
      <c r="AI137" s="11">
        <v>1282530800</v>
      </c>
      <c r="AJ137" s="11">
        <v>2310237250</v>
      </c>
      <c r="AK137" s="11">
        <v>2375926800</v>
      </c>
      <c r="AL137" s="11">
        <v>1667083700</v>
      </c>
      <c r="AM137" s="11">
        <v>1577941100</v>
      </c>
      <c r="AN137" s="11">
        <v>1669372750</v>
      </c>
      <c r="AO137" s="11">
        <v>1789732300</v>
      </c>
      <c r="AP137" s="11">
        <v>1531048400</v>
      </c>
      <c r="AQ137" s="11">
        <v>1576521200</v>
      </c>
      <c r="AR137" s="11">
        <v>1543931150</v>
      </c>
      <c r="AS137" s="11">
        <v>1512758750</v>
      </c>
      <c r="AT137" s="11">
        <v>1609667600</v>
      </c>
      <c r="AU137" s="11">
        <v>1654451450</v>
      </c>
      <c r="AV137" s="11">
        <v>1660976750</v>
      </c>
      <c r="AW137" s="11">
        <v>1570024600</v>
      </c>
      <c r="AX137" s="11">
        <v>1615785800</v>
      </c>
      <c r="AY137" s="11">
        <v>1550312100</v>
      </c>
      <c r="AZ137" s="11">
        <v>1770101450</v>
      </c>
      <c r="BA137" s="11">
        <v>1549008250</v>
      </c>
      <c r="BB137" s="11">
        <v>964530100</v>
      </c>
      <c r="BC137" s="11">
        <v>1106480800</v>
      </c>
      <c r="BD137" s="11">
        <v>1276506800</v>
      </c>
      <c r="BE137" s="11">
        <v>1276728900</v>
      </c>
      <c r="BF137" s="11">
        <v>1051015050</v>
      </c>
      <c r="BG137" s="11">
        <v>1294944100</v>
      </c>
      <c r="BH137" s="11">
        <v>1314480900</v>
      </c>
      <c r="BI137" s="11">
        <v>1246789200</v>
      </c>
      <c r="BJ137" s="11">
        <v>1311233900</v>
      </c>
      <c r="BK137" s="11">
        <v>1248609900</v>
      </c>
      <c r="BL137" s="11">
        <v>1382736100</v>
      </c>
    </row>
    <row r="138" spans="1:64" s="10" customFormat="1" x14ac:dyDescent="0.25">
      <c r="A138" s="8">
        <v>7</v>
      </c>
      <c r="B138" s="8" t="s">
        <v>4</v>
      </c>
      <c r="C138" s="8" t="s">
        <v>5</v>
      </c>
      <c r="D138" s="8" t="s">
        <v>12</v>
      </c>
      <c r="E138" s="11">
        <v>2763109750</v>
      </c>
      <c r="F138" s="11">
        <v>2106244400</v>
      </c>
      <c r="G138" s="11">
        <v>2361234900</v>
      </c>
      <c r="H138" s="11">
        <v>2524719800</v>
      </c>
      <c r="I138" s="11">
        <v>2400756600</v>
      </c>
      <c r="J138" s="11">
        <v>2476171200</v>
      </c>
      <c r="K138" s="11">
        <v>2566993400</v>
      </c>
      <c r="L138" s="11">
        <v>2634992900</v>
      </c>
      <c r="M138" s="11">
        <v>2384637600</v>
      </c>
      <c r="N138" s="11">
        <v>2653847900</v>
      </c>
      <c r="O138" s="11">
        <v>2601598600</v>
      </c>
      <c r="P138" s="11">
        <v>3057689550</v>
      </c>
      <c r="Q138" s="11">
        <v>3139483150</v>
      </c>
      <c r="R138" s="11">
        <v>2311506600</v>
      </c>
      <c r="S138" s="11">
        <v>2534641950</v>
      </c>
      <c r="T138" s="11">
        <v>2710255250</v>
      </c>
      <c r="U138" s="11">
        <v>2720034550</v>
      </c>
      <c r="V138" s="11">
        <v>2863285900</v>
      </c>
      <c r="W138" s="11">
        <v>2892854300</v>
      </c>
      <c r="X138" s="11">
        <v>2887571300</v>
      </c>
      <c r="Y138" s="11">
        <v>2620314300</v>
      </c>
      <c r="Z138" s="11">
        <v>2814586250</v>
      </c>
      <c r="AA138" s="11">
        <v>2719349600</v>
      </c>
      <c r="AB138" s="11">
        <v>3320665950</v>
      </c>
      <c r="AC138" s="11">
        <v>3521795900</v>
      </c>
      <c r="AD138" s="11">
        <v>2663009200</v>
      </c>
      <c r="AE138" s="11">
        <v>3156702300</v>
      </c>
      <c r="AF138" s="11">
        <v>2708495250</v>
      </c>
      <c r="AG138" s="11">
        <v>2958221050</v>
      </c>
      <c r="AH138" s="11">
        <v>2823149200</v>
      </c>
      <c r="AI138" s="11">
        <v>2949938150</v>
      </c>
      <c r="AJ138" s="11">
        <v>2600775650</v>
      </c>
      <c r="AK138" s="11">
        <v>2012433900</v>
      </c>
      <c r="AL138" s="11">
        <v>3006125300</v>
      </c>
      <c r="AM138" s="11">
        <v>2907604150</v>
      </c>
      <c r="AN138" s="11">
        <v>3429870700</v>
      </c>
      <c r="AO138" s="11">
        <v>3669685950</v>
      </c>
      <c r="AP138" s="11">
        <v>2655409200</v>
      </c>
      <c r="AQ138" s="11">
        <v>2946650650</v>
      </c>
      <c r="AR138" s="11">
        <v>3127333550</v>
      </c>
      <c r="AS138" s="11">
        <v>2987355700</v>
      </c>
      <c r="AT138" s="11">
        <v>3237537600</v>
      </c>
      <c r="AU138" s="11">
        <v>3329230400</v>
      </c>
      <c r="AV138" s="11">
        <v>3267919850</v>
      </c>
      <c r="AW138" s="11">
        <v>2987020400</v>
      </c>
      <c r="AX138" s="11">
        <v>3260987400</v>
      </c>
      <c r="AY138" s="11">
        <v>3260122000</v>
      </c>
      <c r="AZ138" s="11">
        <v>3762435000</v>
      </c>
      <c r="BA138" s="11">
        <v>3501973950</v>
      </c>
      <c r="BB138" s="11">
        <v>2137592750</v>
      </c>
      <c r="BC138" s="11">
        <v>3021752850</v>
      </c>
      <c r="BD138" s="11">
        <v>2986138950</v>
      </c>
      <c r="BE138" s="11">
        <v>2962921000</v>
      </c>
      <c r="BF138" s="11">
        <v>2630667350</v>
      </c>
      <c r="BG138" s="11">
        <v>3309310900</v>
      </c>
      <c r="BH138" s="11">
        <v>3265496920</v>
      </c>
      <c r="BI138" s="11">
        <v>2951339550</v>
      </c>
      <c r="BJ138" s="11">
        <v>3192714200</v>
      </c>
      <c r="BK138" s="11">
        <v>3099873450</v>
      </c>
      <c r="BL138" s="11">
        <v>3741410950</v>
      </c>
    </row>
    <row r="139" spans="1:64" x14ac:dyDescent="0.25">
      <c r="A139" s="1">
        <v>89</v>
      </c>
      <c r="B139" s="3" t="s">
        <v>121</v>
      </c>
      <c r="C139" s="3" t="s">
        <v>122</v>
      </c>
      <c r="D139" s="3" t="s">
        <v>127</v>
      </c>
      <c r="E139" s="4">
        <v>2329478250</v>
      </c>
      <c r="F139" s="4">
        <v>1809401300</v>
      </c>
      <c r="G139" s="4">
        <v>1846434800</v>
      </c>
      <c r="H139" s="4">
        <v>2051126400</v>
      </c>
      <c r="I139" s="4">
        <v>1982480050</v>
      </c>
      <c r="J139" s="4">
        <v>2009210400</v>
      </c>
      <c r="K139" s="4">
        <v>2155864750</v>
      </c>
      <c r="L139" s="4">
        <v>1919756450</v>
      </c>
      <c r="M139" s="4">
        <v>1860319650</v>
      </c>
      <c r="N139" s="4">
        <v>2053206700</v>
      </c>
      <c r="O139" s="4">
        <v>1960047200</v>
      </c>
      <c r="P139" s="4">
        <v>2030795550</v>
      </c>
      <c r="Q139" s="4">
        <v>2264921100</v>
      </c>
      <c r="R139" s="4">
        <v>1910508500</v>
      </c>
      <c r="S139" s="4">
        <v>2103309050</v>
      </c>
      <c r="T139" s="4">
        <v>2085062400</v>
      </c>
      <c r="U139" s="4">
        <v>2056968500</v>
      </c>
      <c r="V139" s="4">
        <v>2025290850</v>
      </c>
      <c r="W139" s="4">
        <v>2233831250</v>
      </c>
      <c r="X139" s="4">
        <v>2166103350</v>
      </c>
      <c r="Y139" s="4">
        <v>2104233400</v>
      </c>
      <c r="Z139" s="4">
        <v>2288674750</v>
      </c>
      <c r="AA139" s="4">
        <v>2126277150</v>
      </c>
      <c r="AB139" s="4">
        <v>2286945100</v>
      </c>
      <c r="AC139" s="4">
        <v>2513234850</v>
      </c>
      <c r="AD139" s="4">
        <v>1927805250</v>
      </c>
      <c r="AE139" s="4">
        <v>2181138700</v>
      </c>
      <c r="AF139" s="4">
        <v>2052236300</v>
      </c>
      <c r="AG139" s="4">
        <v>2248187650</v>
      </c>
      <c r="AH139" s="4">
        <v>2235581050</v>
      </c>
      <c r="AI139" s="4">
        <v>2096408800</v>
      </c>
      <c r="AJ139" s="4">
        <v>2400712450</v>
      </c>
      <c r="AK139" s="4">
        <v>2266356900</v>
      </c>
      <c r="AL139" s="4">
        <v>2350515400</v>
      </c>
      <c r="AM139" s="4">
        <v>2295433450</v>
      </c>
      <c r="AN139" s="4">
        <v>2568060400</v>
      </c>
      <c r="AO139" s="4">
        <v>2908323900</v>
      </c>
      <c r="AP139" s="4">
        <v>2267500700</v>
      </c>
      <c r="AQ139" s="4">
        <v>2493734500</v>
      </c>
      <c r="AR139" s="4">
        <v>2533760500</v>
      </c>
      <c r="AS139" s="4">
        <v>2485008200</v>
      </c>
      <c r="AT139" s="4">
        <v>2485354700</v>
      </c>
      <c r="AU139" s="4">
        <v>2464377300</v>
      </c>
      <c r="AV139" s="4">
        <v>2490265200</v>
      </c>
      <c r="AW139" s="4">
        <v>2435201200</v>
      </c>
      <c r="AX139" s="4">
        <v>2626916650</v>
      </c>
      <c r="AY139" s="4">
        <v>2497168550</v>
      </c>
      <c r="AZ139" s="4">
        <v>2798237000</v>
      </c>
      <c r="BA139" s="4">
        <v>3185983800</v>
      </c>
      <c r="BB139" s="4">
        <v>2406402000</v>
      </c>
      <c r="BC139" s="4">
        <v>2813943000</v>
      </c>
      <c r="BD139" s="4">
        <v>2903364300</v>
      </c>
      <c r="BE139" s="4">
        <v>2842598700</v>
      </c>
      <c r="BF139" s="4">
        <v>2832306700</v>
      </c>
      <c r="BG139" s="4">
        <v>2860446100</v>
      </c>
      <c r="BH139" s="4">
        <v>2753022200</v>
      </c>
      <c r="BI139" s="4">
        <v>2693130700</v>
      </c>
      <c r="BJ139" s="4">
        <v>2858337200</v>
      </c>
      <c r="BK139" s="4">
        <v>2759153800</v>
      </c>
      <c r="BL139" s="4">
        <v>3002839300</v>
      </c>
    </row>
    <row r="140" spans="1:64" x14ac:dyDescent="0.25">
      <c r="A140" s="1">
        <v>45</v>
      </c>
      <c r="B140" s="3" t="s">
        <v>59</v>
      </c>
      <c r="C140" s="3" t="s">
        <v>60</v>
      </c>
      <c r="D140" s="3" t="s">
        <v>68</v>
      </c>
      <c r="E140" s="4">
        <v>1760892500</v>
      </c>
      <c r="F140" s="4">
        <v>1492819600</v>
      </c>
      <c r="G140" s="4">
        <v>1589835200</v>
      </c>
      <c r="H140" s="4">
        <v>1719390300</v>
      </c>
      <c r="I140" s="4">
        <v>1554681900</v>
      </c>
      <c r="J140" s="4">
        <v>1640741100</v>
      </c>
      <c r="K140" s="4">
        <v>1788639400</v>
      </c>
      <c r="L140" s="4">
        <v>1770181100</v>
      </c>
      <c r="M140" s="4">
        <v>1626650800</v>
      </c>
      <c r="N140" s="4">
        <v>1783465200</v>
      </c>
      <c r="O140" s="4">
        <v>1744098050</v>
      </c>
      <c r="P140" s="4">
        <v>1960670700</v>
      </c>
      <c r="Q140" s="4">
        <v>1929216100</v>
      </c>
      <c r="R140" s="4">
        <v>1590863300</v>
      </c>
      <c r="S140" s="4">
        <v>1659670900</v>
      </c>
      <c r="T140" s="4">
        <v>1933885900</v>
      </c>
      <c r="U140" s="4">
        <v>1863676900</v>
      </c>
      <c r="V140" s="4">
        <v>1861016600</v>
      </c>
      <c r="W140" s="4">
        <v>2002042350</v>
      </c>
      <c r="X140" s="4">
        <v>2001248050</v>
      </c>
      <c r="Y140" s="4">
        <v>1849961100</v>
      </c>
      <c r="Z140" s="4">
        <v>1971126900</v>
      </c>
      <c r="AA140" s="4">
        <v>1953552650</v>
      </c>
      <c r="AB140" s="4">
        <v>2265747800</v>
      </c>
      <c r="AC140" s="4">
        <v>2281270900</v>
      </c>
      <c r="AD140" s="4">
        <v>1967118300</v>
      </c>
      <c r="AE140" s="4">
        <v>2305675800</v>
      </c>
      <c r="AF140" s="4">
        <v>1988033000</v>
      </c>
      <c r="AG140" s="4">
        <v>2111622100</v>
      </c>
      <c r="AH140" s="4">
        <v>1358423100</v>
      </c>
      <c r="AI140" s="4">
        <v>2040237900</v>
      </c>
      <c r="AJ140" s="4">
        <v>2430319800</v>
      </c>
      <c r="AK140" s="4">
        <v>2113931150</v>
      </c>
      <c r="AL140" s="4">
        <v>2209695700</v>
      </c>
      <c r="AM140" s="4">
        <v>2231469450</v>
      </c>
      <c r="AN140" s="4">
        <v>2503449600</v>
      </c>
      <c r="AO140" s="4">
        <v>2488709950</v>
      </c>
      <c r="AP140" s="4">
        <v>2047484100</v>
      </c>
      <c r="AQ140" s="4">
        <v>2188276350</v>
      </c>
      <c r="AR140" s="4">
        <v>2377006000</v>
      </c>
      <c r="AS140" s="4">
        <v>2209181000</v>
      </c>
      <c r="AT140" s="4">
        <v>2341211100</v>
      </c>
      <c r="AU140" s="4">
        <v>2544124600</v>
      </c>
      <c r="AV140" s="4">
        <v>2493916400</v>
      </c>
      <c r="AW140" s="4">
        <v>2306203500</v>
      </c>
      <c r="AX140" s="4">
        <v>2333679750</v>
      </c>
      <c r="AY140" s="4">
        <v>2065749300</v>
      </c>
      <c r="AZ140" s="4">
        <v>2715139700</v>
      </c>
      <c r="BA140" s="4">
        <v>2706814200</v>
      </c>
      <c r="BB140" s="4">
        <v>2186328400</v>
      </c>
      <c r="BC140" s="4">
        <v>2611886750</v>
      </c>
      <c r="BD140" s="4">
        <v>2445795550</v>
      </c>
      <c r="BE140" s="4">
        <v>2381986600</v>
      </c>
      <c r="BF140" s="4">
        <v>2457925500</v>
      </c>
      <c r="BG140" s="4">
        <v>2696347300</v>
      </c>
      <c r="BH140" s="4">
        <v>2640026200</v>
      </c>
      <c r="BI140" s="4">
        <v>2456653400</v>
      </c>
      <c r="BJ140" s="4">
        <v>2613248400</v>
      </c>
      <c r="BK140" s="4">
        <v>0</v>
      </c>
      <c r="BL140" s="4">
        <v>0</v>
      </c>
    </row>
    <row r="141" spans="1:64" x14ac:dyDescent="0.25">
      <c r="A141" s="1">
        <v>76</v>
      </c>
      <c r="B141" s="3" t="s">
        <v>100</v>
      </c>
      <c r="C141" s="3" t="s">
        <v>101</v>
      </c>
      <c r="D141" s="3" t="s">
        <v>108</v>
      </c>
      <c r="E141" s="4">
        <v>1082524900</v>
      </c>
      <c r="F141" s="4">
        <v>972462500</v>
      </c>
      <c r="G141" s="4">
        <v>1072396500</v>
      </c>
      <c r="H141" s="4">
        <v>1022692450</v>
      </c>
      <c r="I141" s="4">
        <v>1048934800</v>
      </c>
      <c r="J141" s="4">
        <v>987355100</v>
      </c>
      <c r="K141" s="4">
        <v>1050013600</v>
      </c>
      <c r="L141" s="4">
        <v>1031858100</v>
      </c>
      <c r="M141" s="4">
        <v>1004336000</v>
      </c>
      <c r="N141" s="4">
        <v>1026544650</v>
      </c>
      <c r="O141" s="4">
        <v>979529900</v>
      </c>
      <c r="P141" s="4">
        <v>1137091800</v>
      </c>
      <c r="Q141" s="4">
        <v>1163620000</v>
      </c>
      <c r="R141" s="4">
        <v>1050168100</v>
      </c>
      <c r="S141" s="4">
        <v>1186702800</v>
      </c>
      <c r="T141" s="4">
        <v>1127621900</v>
      </c>
      <c r="U141" s="4">
        <v>1179765000</v>
      </c>
      <c r="V141" s="4">
        <v>1097380300</v>
      </c>
      <c r="W141" s="4">
        <v>1184012500</v>
      </c>
      <c r="X141" s="4">
        <v>1177404300</v>
      </c>
      <c r="Y141" s="4">
        <v>1140956600</v>
      </c>
      <c r="Z141" s="4">
        <v>1194506500</v>
      </c>
      <c r="AA141" s="4">
        <v>1128795500</v>
      </c>
      <c r="AB141" s="4">
        <v>1288720700</v>
      </c>
      <c r="AC141" s="4">
        <v>1362975000</v>
      </c>
      <c r="AD141" s="4">
        <v>1298356600</v>
      </c>
      <c r="AE141" s="4">
        <v>1382575400</v>
      </c>
      <c r="AF141" s="4">
        <v>1316242400</v>
      </c>
      <c r="AG141" s="4">
        <v>1350494200</v>
      </c>
      <c r="AH141" s="4">
        <v>1306161800</v>
      </c>
      <c r="AI141" s="4">
        <v>1374817400</v>
      </c>
      <c r="AJ141" s="4">
        <v>1378867100</v>
      </c>
      <c r="AK141" s="4">
        <v>1352899300</v>
      </c>
      <c r="AL141" s="4">
        <v>1338769400</v>
      </c>
      <c r="AM141" s="4">
        <v>1277740200</v>
      </c>
      <c r="AN141" s="4">
        <v>1477674500</v>
      </c>
      <c r="AO141" s="4">
        <v>1505414800</v>
      </c>
      <c r="AP141" s="4">
        <v>1373995500</v>
      </c>
      <c r="AQ141" s="4">
        <v>1614141800</v>
      </c>
      <c r="AR141" s="4">
        <v>1563383700</v>
      </c>
      <c r="AS141" s="4">
        <v>1609729100</v>
      </c>
      <c r="AT141" s="4">
        <v>1580366800</v>
      </c>
      <c r="AU141" s="4">
        <v>1666454450</v>
      </c>
      <c r="AV141" s="4">
        <v>1674301000</v>
      </c>
      <c r="AW141" s="4">
        <v>1573218600</v>
      </c>
      <c r="AX141" s="4">
        <v>1651504900</v>
      </c>
      <c r="AY141" s="4">
        <v>1536770400</v>
      </c>
      <c r="AZ141" s="4">
        <v>1760804100</v>
      </c>
      <c r="BA141" s="4">
        <v>1698419200</v>
      </c>
      <c r="BB141" s="4">
        <v>1621135700</v>
      </c>
      <c r="BC141" s="4">
        <v>1828402700</v>
      </c>
      <c r="BD141" s="4">
        <v>1775466750</v>
      </c>
      <c r="BE141" s="4">
        <v>1786483600</v>
      </c>
      <c r="BF141" s="4">
        <v>1723735650</v>
      </c>
      <c r="BG141" s="4">
        <v>1828610600</v>
      </c>
      <c r="BH141" s="4">
        <v>1849901100</v>
      </c>
      <c r="BI141" s="4">
        <v>1792488700</v>
      </c>
      <c r="BJ141" s="4">
        <v>1840293000</v>
      </c>
      <c r="BK141" s="4">
        <v>1723673900</v>
      </c>
      <c r="BL141" s="4">
        <v>1957579900</v>
      </c>
    </row>
    <row r="142" spans="1:64" x14ac:dyDescent="0.25">
      <c r="A142" s="1">
        <v>54</v>
      </c>
      <c r="B142" s="3" t="s">
        <v>79</v>
      </c>
      <c r="C142" s="3" t="s">
        <v>80</v>
      </c>
      <c r="D142" s="3" t="s">
        <v>83</v>
      </c>
      <c r="E142" s="4">
        <v>3006863500</v>
      </c>
      <c r="F142" s="4">
        <v>2498618900</v>
      </c>
      <c r="G142" s="4">
        <v>2761710000</v>
      </c>
      <c r="H142" s="4">
        <v>2670218500</v>
      </c>
      <c r="I142" s="4">
        <v>2481266500</v>
      </c>
      <c r="J142" s="4">
        <v>2747504900</v>
      </c>
      <c r="K142" s="4">
        <v>2791028700</v>
      </c>
      <c r="L142" s="4">
        <v>2825255400</v>
      </c>
      <c r="M142" s="4">
        <v>2653792300</v>
      </c>
      <c r="N142" s="4">
        <v>2878051400</v>
      </c>
      <c r="O142" s="4">
        <v>2762020900</v>
      </c>
      <c r="P142" s="4">
        <v>3369624000</v>
      </c>
      <c r="Q142" s="4">
        <v>3309613100</v>
      </c>
      <c r="R142" s="4">
        <v>2695045700</v>
      </c>
      <c r="S142" s="4">
        <v>2739745400</v>
      </c>
      <c r="T142" s="4">
        <v>3001577600</v>
      </c>
      <c r="U142" s="4">
        <v>3127617300</v>
      </c>
      <c r="V142" s="4">
        <v>3158286800</v>
      </c>
      <c r="W142" s="4">
        <v>3137361200</v>
      </c>
      <c r="X142" s="4">
        <v>3079540600</v>
      </c>
      <c r="Y142" s="4">
        <v>2949673100</v>
      </c>
      <c r="Z142" s="4">
        <v>3236314800</v>
      </c>
      <c r="AA142" s="4">
        <v>3125875400</v>
      </c>
      <c r="AB142" s="4">
        <v>3801577000</v>
      </c>
      <c r="AC142" s="4">
        <v>3607602450</v>
      </c>
      <c r="AD142" s="4">
        <v>3028308850</v>
      </c>
      <c r="AE142" s="4">
        <v>3487426750</v>
      </c>
      <c r="AF142" s="4">
        <v>3072710950</v>
      </c>
      <c r="AG142" s="4">
        <v>3322622800</v>
      </c>
      <c r="AH142" s="4">
        <v>3009448600</v>
      </c>
      <c r="AI142" s="4">
        <v>2421732450</v>
      </c>
      <c r="AJ142" s="4">
        <v>3504303700</v>
      </c>
      <c r="AK142" s="4">
        <v>3205362250</v>
      </c>
      <c r="AL142" s="4">
        <v>3472621250</v>
      </c>
      <c r="AM142" s="4">
        <v>3349683200</v>
      </c>
      <c r="AN142" s="4">
        <v>4060452300</v>
      </c>
      <c r="AO142" s="4">
        <v>3832318000</v>
      </c>
      <c r="AP142" s="4">
        <v>3272603250</v>
      </c>
      <c r="AQ142" s="4">
        <v>3579228000</v>
      </c>
      <c r="AR142" s="4">
        <v>3613223750</v>
      </c>
      <c r="AS142" s="4">
        <v>3604455450</v>
      </c>
      <c r="AT142" s="4">
        <v>3610753500</v>
      </c>
      <c r="AU142" s="4">
        <v>3774607150</v>
      </c>
      <c r="AV142" s="4">
        <v>3729970500</v>
      </c>
      <c r="AW142" s="4">
        <v>3483741950</v>
      </c>
      <c r="AX142" s="4">
        <v>3827347600</v>
      </c>
      <c r="AY142" s="4">
        <v>3743580650</v>
      </c>
      <c r="AZ142" s="4">
        <v>4568266900</v>
      </c>
      <c r="BA142" s="4">
        <v>4342322050</v>
      </c>
      <c r="BB142" s="4">
        <v>3501283150</v>
      </c>
      <c r="BC142" s="4">
        <v>3986007200</v>
      </c>
      <c r="BD142" s="4">
        <v>3722909750</v>
      </c>
      <c r="BE142" s="4">
        <v>3880672950</v>
      </c>
      <c r="BF142" s="4">
        <v>4010818850</v>
      </c>
      <c r="BG142" s="4">
        <v>4208486000</v>
      </c>
      <c r="BH142" s="4">
        <v>4247865100</v>
      </c>
      <c r="BI142" s="4">
        <v>4037116050</v>
      </c>
      <c r="BJ142" s="4">
        <v>4337500050</v>
      </c>
      <c r="BK142" s="4">
        <v>4274456100</v>
      </c>
      <c r="BL142" s="4">
        <v>5158733200</v>
      </c>
    </row>
    <row r="143" spans="1:64" s="10" customFormat="1" x14ac:dyDescent="0.25">
      <c r="A143" s="8">
        <v>19</v>
      </c>
      <c r="B143" s="8" t="s">
        <v>26</v>
      </c>
      <c r="C143" s="8" t="s">
        <v>27</v>
      </c>
      <c r="D143" s="8" t="s">
        <v>30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>
        <v>242948100</v>
      </c>
      <c r="AD143" s="11">
        <v>276457900</v>
      </c>
      <c r="AE143" s="11">
        <v>294362000</v>
      </c>
      <c r="AF143" s="11">
        <v>272935000</v>
      </c>
      <c r="AG143" s="11">
        <v>246158500</v>
      </c>
      <c r="AH143" s="11">
        <v>215512900</v>
      </c>
      <c r="AI143" s="11">
        <v>221663900</v>
      </c>
      <c r="AJ143" s="11">
        <v>288611000</v>
      </c>
      <c r="AK143" s="11">
        <v>205700900</v>
      </c>
      <c r="AL143" s="11">
        <v>227013800</v>
      </c>
      <c r="AM143" s="11">
        <v>248117400</v>
      </c>
      <c r="AN143" s="11">
        <v>260188600</v>
      </c>
      <c r="AO143" s="11">
        <v>239266200</v>
      </c>
      <c r="AP143" s="11">
        <v>242626200</v>
      </c>
      <c r="AQ143" s="11">
        <v>246624600</v>
      </c>
      <c r="AR143" s="11">
        <v>230210800</v>
      </c>
      <c r="AS143" s="11">
        <v>258539800</v>
      </c>
      <c r="AT143" s="11">
        <v>254195600</v>
      </c>
      <c r="AU143" s="11">
        <v>257840200</v>
      </c>
      <c r="AV143" s="11">
        <v>267898000</v>
      </c>
      <c r="AW143" s="11">
        <v>261798200</v>
      </c>
      <c r="AX143" s="11">
        <v>270894200</v>
      </c>
      <c r="AY143" s="11">
        <v>270830000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</row>
    <row r="144" spans="1:64" s="10" customFormat="1" x14ac:dyDescent="0.25">
      <c r="A144" s="8">
        <v>114</v>
      </c>
      <c r="B144" s="8" t="s">
        <v>175</v>
      </c>
      <c r="C144" s="8" t="s">
        <v>176</v>
      </c>
      <c r="D144" s="8" t="s">
        <v>30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272751600</v>
      </c>
      <c r="BA144" s="11">
        <v>258902000</v>
      </c>
      <c r="BB144" s="11">
        <v>256477500</v>
      </c>
      <c r="BC144" s="11">
        <v>248942500</v>
      </c>
      <c r="BD144" s="11">
        <v>247617100</v>
      </c>
      <c r="BE144" s="11">
        <v>224652300</v>
      </c>
      <c r="BF144" s="11">
        <v>217527300</v>
      </c>
      <c r="BG144" s="11">
        <v>228199900</v>
      </c>
      <c r="BH144" s="11">
        <v>173183400</v>
      </c>
      <c r="BI144" s="11">
        <v>157778100</v>
      </c>
      <c r="BJ144" s="11">
        <v>181625800</v>
      </c>
      <c r="BK144" s="11">
        <v>193082000</v>
      </c>
      <c r="BL144" s="11">
        <v>185588800</v>
      </c>
    </row>
    <row r="145" spans="1:64" x14ac:dyDescent="0.25">
      <c r="A145" s="1">
        <v>90</v>
      </c>
      <c r="B145" s="3" t="s">
        <v>121</v>
      </c>
      <c r="C145" s="3" t="s">
        <v>122</v>
      </c>
      <c r="D145" s="3" t="s">
        <v>128</v>
      </c>
      <c r="E145" s="4">
        <v>769617000</v>
      </c>
      <c r="F145" s="4">
        <v>636984700</v>
      </c>
      <c r="G145" s="4">
        <v>669093600</v>
      </c>
      <c r="H145" s="4">
        <v>696165900</v>
      </c>
      <c r="I145" s="4">
        <v>683157100</v>
      </c>
      <c r="J145" s="4">
        <v>669060700</v>
      </c>
      <c r="K145" s="4">
        <v>706969200</v>
      </c>
      <c r="L145" s="4">
        <v>699555300</v>
      </c>
      <c r="M145" s="4">
        <v>654361300</v>
      </c>
      <c r="N145" s="4">
        <v>686918600</v>
      </c>
      <c r="O145" s="4">
        <v>678480100</v>
      </c>
      <c r="P145" s="4">
        <v>764513900</v>
      </c>
      <c r="Q145" s="4">
        <v>771715100</v>
      </c>
      <c r="R145" s="4">
        <v>646542700</v>
      </c>
      <c r="S145" s="4">
        <v>729195600</v>
      </c>
      <c r="T145" s="4">
        <v>760934600</v>
      </c>
      <c r="U145" s="4">
        <v>773338200</v>
      </c>
      <c r="V145" s="4">
        <v>759887200</v>
      </c>
      <c r="W145" s="4">
        <v>809809500</v>
      </c>
      <c r="X145" s="4">
        <v>768213000</v>
      </c>
      <c r="Y145" s="4">
        <v>709545500</v>
      </c>
      <c r="Z145" s="4">
        <v>772799500</v>
      </c>
      <c r="AA145" s="4">
        <v>752143700</v>
      </c>
      <c r="AB145" s="4">
        <v>884089200</v>
      </c>
      <c r="AC145" s="4">
        <v>873931600</v>
      </c>
      <c r="AD145" s="4">
        <v>730116800</v>
      </c>
      <c r="AE145" s="4">
        <v>811270000</v>
      </c>
      <c r="AF145" s="4">
        <v>770638100</v>
      </c>
      <c r="AG145" s="4">
        <v>785178000</v>
      </c>
      <c r="AH145" s="4">
        <v>789758000</v>
      </c>
      <c r="AI145" s="4">
        <v>832749400</v>
      </c>
      <c r="AJ145" s="4">
        <v>808735600</v>
      </c>
      <c r="AK145" s="4">
        <v>768450700</v>
      </c>
      <c r="AL145" s="4">
        <v>811991850</v>
      </c>
      <c r="AM145" s="4">
        <v>801810000</v>
      </c>
      <c r="AN145" s="4">
        <v>934011300</v>
      </c>
      <c r="AO145" s="4">
        <v>915326100</v>
      </c>
      <c r="AP145" s="4">
        <v>755449100</v>
      </c>
      <c r="AQ145" s="4">
        <v>825184600</v>
      </c>
      <c r="AR145" s="4">
        <v>905116500</v>
      </c>
      <c r="AS145" s="4">
        <v>843864550</v>
      </c>
      <c r="AT145" s="4">
        <v>835607100</v>
      </c>
      <c r="AU145" s="4">
        <v>856197100</v>
      </c>
      <c r="AV145" s="4">
        <v>831606350</v>
      </c>
      <c r="AW145" s="4">
        <v>779484450</v>
      </c>
      <c r="AX145" s="4">
        <v>833289950</v>
      </c>
      <c r="AY145" s="4">
        <v>816338000</v>
      </c>
      <c r="AZ145" s="4">
        <v>977224200</v>
      </c>
      <c r="BA145" s="4">
        <v>971978650</v>
      </c>
      <c r="BB145" s="4">
        <v>765932550</v>
      </c>
      <c r="BC145" s="4">
        <v>894543600</v>
      </c>
      <c r="BD145" s="4">
        <v>930417350</v>
      </c>
      <c r="BE145" s="4">
        <v>877941550</v>
      </c>
      <c r="BF145" s="4">
        <v>881282450</v>
      </c>
      <c r="BG145" s="4">
        <v>930497200</v>
      </c>
      <c r="BH145" s="4">
        <v>886486800</v>
      </c>
      <c r="BI145" s="4">
        <v>839408700</v>
      </c>
      <c r="BJ145" s="4">
        <v>902214900</v>
      </c>
      <c r="BK145" s="4">
        <v>894156150</v>
      </c>
      <c r="BL145" s="4">
        <v>1050933450</v>
      </c>
    </row>
    <row r="146" spans="1:64" s="10" customFormat="1" x14ac:dyDescent="0.25">
      <c r="A146" s="8">
        <v>30</v>
      </c>
      <c r="B146" s="8" t="s">
        <v>41</v>
      </c>
      <c r="C146" s="8" t="s">
        <v>42</v>
      </c>
      <c r="D146" s="8" t="s">
        <v>47</v>
      </c>
      <c r="E146" s="11">
        <v>1105400600</v>
      </c>
      <c r="F146" s="11">
        <v>919029300</v>
      </c>
      <c r="G146" s="11">
        <v>1018724300</v>
      </c>
      <c r="H146" s="11">
        <v>978356900</v>
      </c>
      <c r="I146" s="11">
        <v>1038401100</v>
      </c>
      <c r="J146" s="11">
        <v>919984700</v>
      </c>
      <c r="K146" s="11">
        <v>1037225900</v>
      </c>
      <c r="L146" s="11">
        <v>1081842400</v>
      </c>
      <c r="M146" s="11">
        <v>1035912500</v>
      </c>
      <c r="N146" s="11">
        <v>983478000</v>
      </c>
      <c r="O146" s="11">
        <v>920871500</v>
      </c>
      <c r="P146" s="11">
        <v>1038981800</v>
      </c>
      <c r="Q146" s="11">
        <v>1017357050</v>
      </c>
      <c r="R146" s="11">
        <v>845963600</v>
      </c>
      <c r="S146" s="11">
        <v>938194200</v>
      </c>
      <c r="T146" s="11">
        <v>922907000</v>
      </c>
      <c r="U146" s="11">
        <v>922686300</v>
      </c>
      <c r="V146" s="11">
        <v>936315900</v>
      </c>
      <c r="W146" s="11">
        <v>1098230300</v>
      </c>
      <c r="X146" s="11">
        <v>1080185800</v>
      </c>
      <c r="Y146" s="11">
        <v>299557000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</row>
    <row r="147" spans="1:64" s="10" customFormat="1" x14ac:dyDescent="0.25">
      <c r="A147" s="8">
        <v>151</v>
      </c>
      <c r="B147" s="8" t="s">
        <v>225</v>
      </c>
      <c r="C147" s="8" t="s">
        <v>226</v>
      </c>
      <c r="D147" s="8" t="s">
        <v>47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806827700</v>
      </c>
      <c r="Z147" s="11">
        <v>1035694600</v>
      </c>
      <c r="AA147" s="11">
        <v>1008070100</v>
      </c>
      <c r="AB147" s="11">
        <v>1047099200</v>
      </c>
      <c r="AC147" s="11">
        <v>1097955100</v>
      </c>
      <c r="AD147" s="11">
        <v>934127900</v>
      </c>
      <c r="AE147" s="11">
        <v>1001782900</v>
      </c>
      <c r="AF147" s="11">
        <v>942950050</v>
      </c>
      <c r="AG147" s="11">
        <v>876815700</v>
      </c>
      <c r="AH147" s="11">
        <v>878253200</v>
      </c>
      <c r="AI147" s="11">
        <v>875353700</v>
      </c>
      <c r="AJ147" s="11">
        <v>974551000</v>
      </c>
      <c r="AK147" s="11">
        <v>995121500</v>
      </c>
      <c r="AL147" s="11">
        <v>930642600</v>
      </c>
      <c r="AM147" s="11">
        <v>887067500</v>
      </c>
      <c r="AN147" s="11">
        <v>1012348900</v>
      </c>
      <c r="AO147" s="11">
        <v>1079100600</v>
      </c>
      <c r="AP147" s="11">
        <v>907081800</v>
      </c>
      <c r="AQ147" s="11">
        <v>1024438500</v>
      </c>
      <c r="AR147" s="11">
        <v>991422550</v>
      </c>
      <c r="AS147" s="11">
        <v>1024384200</v>
      </c>
      <c r="AT147" s="11">
        <v>989594700</v>
      </c>
      <c r="AU147" s="11">
        <v>958646200</v>
      </c>
      <c r="AV147" s="11">
        <v>1171445300</v>
      </c>
      <c r="AW147" s="11">
        <v>1157853550</v>
      </c>
      <c r="AX147" s="11">
        <v>1039565400</v>
      </c>
      <c r="AY147" s="11">
        <v>998433100</v>
      </c>
      <c r="AZ147" s="11">
        <v>1140910650</v>
      </c>
      <c r="BA147" s="11">
        <v>1175070600</v>
      </c>
      <c r="BB147" s="11">
        <v>941682900</v>
      </c>
      <c r="BC147" s="11">
        <v>1039665800</v>
      </c>
      <c r="BD147" s="11">
        <v>978738700</v>
      </c>
      <c r="BE147" s="11">
        <v>981480100</v>
      </c>
      <c r="BF147" s="11">
        <v>948246200</v>
      </c>
      <c r="BG147" s="11">
        <v>1067270700</v>
      </c>
      <c r="BH147" s="11">
        <v>1063520650</v>
      </c>
      <c r="BI147" s="11">
        <v>1033928300</v>
      </c>
      <c r="BJ147" s="11">
        <v>1052316700</v>
      </c>
      <c r="BK147" s="11">
        <v>1026232400</v>
      </c>
      <c r="BL147" s="11">
        <v>1125883600</v>
      </c>
    </row>
    <row r="148" spans="1:64" x14ac:dyDescent="0.25">
      <c r="A148" s="1">
        <v>46</v>
      </c>
      <c r="B148" s="3" t="s">
        <v>59</v>
      </c>
      <c r="C148" s="3" t="s">
        <v>60</v>
      </c>
      <c r="D148" s="3" t="s">
        <v>69</v>
      </c>
      <c r="E148" s="4">
        <v>2414631800</v>
      </c>
      <c r="F148" s="4">
        <v>2099651100</v>
      </c>
      <c r="G148" s="4">
        <v>2191720200</v>
      </c>
      <c r="H148" s="4">
        <v>2431559500</v>
      </c>
      <c r="I148" s="4">
        <v>2186561100</v>
      </c>
      <c r="J148" s="4">
        <v>2254232000</v>
      </c>
      <c r="K148" s="4">
        <v>2456489300</v>
      </c>
      <c r="L148" s="4">
        <v>2362519100</v>
      </c>
      <c r="M148" s="4">
        <v>2341039300</v>
      </c>
      <c r="N148" s="4">
        <v>2430465600</v>
      </c>
      <c r="O148" s="4">
        <v>2367663500</v>
      </c>
      <c r="P148" s="4">
        <v>2646250100</v>
      </c>
      <c r="Q148" s="4">
        <v>2672337700</v>
      </c>
      <c r="R148" s="4">
        <v>2235284100</v>
      </c>
      <c r="S148" s="4">
        <v>2346507700</v>
      </c>
      <c r="T148" s="4">
        <v>2606912800</v>
      </c>
      <c r="U148" s="4">
        <v>2495323200</v>
      </c>
      <c r="V148" s="4">
        <v>2541108500</v>
      </c>
      <c r="W148" s="4">
        <v>2711092700</v>
      </c>
      <c r="X148" s="4">
        <v>2668543000</v>
      </c>
      <c r="Y148" s="4">
        <v>2552790300</v>
      </c>
      <c r="Z148" s="4">
        <v>2683624000</v>
      </c>
      <c r="AA148" s="4">
        <v>2581238400</v>
      </c>
      <c r="AB148" s="4">
        <v>2976959400</v>
      </c>
      <c r="AC148" s="4">
        <v>2937552600</v>
      </c>
      <c r="AD148" s="4">
        <v>2640579300</v>
      </c>
      <c r="AE148" s="4">
        <v>3028157900</v>
      </c>
      <c r="AF148" s="4">
        <v>2617425900</v>
      </c>
      <c r="AG148" s="4">
        <v>2807074300</v>
      </c>
      <c r="AH148" s="4">
        <v>2185010300</v>
      </c>
      <c r="AI148" s="4">
        <v>2890892300</v>
      </c>
      <c r="AJ148" s="4">
        <v>3233775000</v>
      </c>
      <c r="AK148" s="4">
        <v>2989799500</v>
      </c>
      <c r="AL148" s="4">
        <v>2994296700</v>
      </c>
      <c r="AM148" s="4">
        <v>3067280700</v>
      </c>
      <c r="AN148" s="4">
        <v>3352821200</v>
      </c>
      <c r="AO148" s="4">
        <v>3319521400</v>
      </c>
      <c r="AP148" s="4">
        <v>2830877800</v>
      </c>
      <c r="AQ148" s="4">
        <v>2998653600</v>
      </c>
      <c r="AR148" s="4">
        <v>3109241900</v>
      </c>
      <c r="AS148" s="4">
        <v>2965079800</v>
      </c>
      <c r="AT148" s="4">
        <v>3115072800</v>
      </c>
      <c r="AU148" s="4">
        <v>3455616600</v>
      </c>
      <c r="AV148" s="4">
        <v>3386501400</v>
      </c>
      <c r="AW148" s="4">
        <v>3177820300</v>
      </c>
      <c r="AX148" s="4">
        <v>3229166200</v>
      </c>
      <c r="AY148" s="4">
        <v>2827641150</v>
      </c>
      <c r="AZ148" s="4">
        <v>3649452950</v>
      </c>
      <c r="BA148" s="4">
        <v>3569589100</v>
      </c>
      <c r="BB148" s="4">
        <v>2982301500</v>
      </c>
      <c r="BC148" s="4">
        <v>3628838700</v>
      </c>
      <c r="BD148" s="4">
        <v>3363717300</v>
      </c>
      <c r="BE148" s="4">
        <v>3318184200</v>
      </c>
      <c r="BF148" s="4">
        <v>3393585400</v>
      </c>
      <c r="BG148" s="4">
        <v>3716513300</v>
      </c>
      <c r="BH148" s="4">
        <v>3632112600</v>
      </c>
      <c r="BI148" s="4">
        <v>3472156700</v>
      </c>
      <c r="BJ148" s="4">
        <v>3658232900</v>
      </c>
      <c r="BK148" s="4">
        <v>0</v>
      </c>
      <c r="BL148" s="4">
        <v>0</v>
      </c>
    </row>
    <row r="149" spans="1:64" x14ac:dyDescent="0.25">
      <c r="A149" s="1">
        <v>133</v>
      </c>
      <c r="B149" s="3" t="s">
        <v>195</v>
      </c>
      <c r="C149" s="3" t="s">
        <v>196</v>
      </c>
      <c r="D149" s="3" t="s">
        <v>198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>
        <v>0</v>
      </c>
      <c r="AD149" s="4">
        <v>0</v>
      </c>
      <c r="AE149" s="4">
        <v>0</v>
      </c>
      <c r="AF149" s="4">
        <v>147369000</v>
      </c>
      <c r="AG149" s="4">
        <v>290676200</v>
      </c>
      <c r="AH149" s="4">
        <v>302123700</v>
      </c>
      <c r="AI149" s="4">
        <v>228404300</v>
      </c>
      <c r="AJ149" s="4">
        <v>633266700</v>
      </c>
      <c r="AK149" s="4">
        <v>793522600</v>
      </c>
      <c r="AL149" s="4">
        <v>801393200</v>
      </c>
      <c r="AM149" s="4">
        <v>763213500</v>
      </c>
      <c r="AN149" s="4">
        <v>879791500</v>
      </c>
      <c r="AO149" s="4">
        <v>1003944500</v>
      </c>
      <c r="AP149" s="4">
        <v>645057200</v>
      </c>
      <c r="AQ149" s="4">
        <v>347297300</v>
      </c>
      <c r="AR149" s="4">
        <v>317516900</v>
      </c>
      <c r="AS149" s="4">
        <v>313943200</v>
      </c>
      <c r="AT149" s="4">
        <v>286797600</v>
      </c>
      <c r="AU149" s="4">
        <v>311765500</v>
      </c>
      <c r="AV149" s="4">
        <v>337439500</v>
      </c>
      <c r="AW149" s="4">
        <v>339372800</v>
      </c>
      <c r="AX149" s="4">
        <v>324274800</v>
      </c>
      <c r="AY149" s="4">
        <v>365213300</v>
      </c>
      <c r="AZ149" s="4">
        <v>381827850</v>
      </c>
      <c r="BA149" s="4">
        <v>378326150</v>
      </c>
      <c r="BB149" s="4">
        <v>310477300</v>
      </c>
      <c r="BC149" s="4">
        <v>356673500</v>
      </c>
      <c r="BD149" s="4">
        <v>361154650</v>
      </c>
      <c r="BE149" s="4">
        <v>378701700</v>
      </c>
      <c r="BF149" s="4">
        <v>350739300</v>
      </c>
      <c r="BG149" s="4">
        <v>363626700</v>
      </c>
      <c r="BH149" s="4">
        <v>402182550</v>
      </c>
      <c r="BI149" s="4">
        <v>349110750</v>
      </c>
      <c r="BJ149" s="4">
        <v>385154750</v>
      </c>
      <c r="BK149" s="4">
        <v>435070300</v>
      </c>
      <c r="BL149" s="4">
        <v>427265300</v>
      </c>
    </row>
    <row r="150" spans="1:64" x14ac:dyDescent="0.25">
      <c r="A150" s="1">
        <v>84</v>
      </c>
      <c r="B150" s="3" t="s">
        <v>112</v>
      </c>
      <c r="C150" s="3" t="s">
        <v>113</v>
      </c>
      <c r="D150" s="3" t="s">
        <v>120</v>
      </c>
      <c r="E150" s="4">
        <v>2246591400</v>
      </c>
      <c r="F150" s="4">
        <v>1745005800</v>
      </c>
      <c r="G150" s="4">
        <v>1855033600</v>
      </c>
      <c r="H150" s="4">
        <v>2019791500</v>
      </c>
      <c r="I150" s="4">
        <v>1155526800</v>
      </c>
      <c r="J150" s="4">
        <v>1884314800</v>
      </c>
      <c r="K150" s="4">
        <v>2193739500</v>
      </c>
      <c r="L150" s="4">
        <v>1981855400</v>
      </c>
      <c r="M150" s="4">
        <v>1957047500</v>
      </c>
      <c r="N150" s="4">
        <v>2149824200</v>
      </c>
      <c r="O150" s="4">
        <v>1837586300</v>
      </c>
      <c r="P150" s="4">
        <v>2149744200</v>
      </c>
      <c r="Q150" s="4">
        <v>2260854400</v>
      </c>
      <c r="R150" s="4">
        <v>1974008900</v>
      </c>
      <c r="S150" s="4">
        <v>2107280200</v>
      </c>
      <c r="T150" s="4">
        <v>2074643500</v>
      </c>
      <c r="U150" s="4">
        <v>2101202200</v>
      </c>
      <c r="V150" s="4">
        <v>2101760500</v>
      </c>
      <c r="W150" s="4">
        <v>2436054200</v>
      </c>
      <c r="X150" s="4">
        <v>2455307600</v>
      </c>
      <c r="Y150" s="4">
        <v>2438168900</v>
      </c>
      <c r="Z150" s="4">
        <v>2514909000</v>
      </c>
      <c r="AA150" s="4">
        <v>2381079900</v>
      </c>
      <c r="AB150" s="4">
        <v>2538907700</v>
      </c>
      <c r="AC150" s="4">
        <v>2738295800</v>
      </c>
      <c r="AD150" s="4">
        <v>2218692000</v>
      </c>
      <c r="AE150" s="4">
        <v>2386408900</v>
      </c>
      <c r="AF150" s="4">
        <v>2320200600</v>
      </c>
      <c r="AG150" s="4">
        <v>2242007100</v>
      </c>
      <c r="AH150" s="4">
        <v>2359300700</v>
      </c>
      <c r="AI150" s="4">
        <v>2207636300</v>
      </c>
      <c r="AJ150" s="4">
        <v>2513316200</v>
      </c>
      <c r="AK150" s="4">
        <v>2460887800</v>
      </c>
      <c r="AL150" s="4">
        <v>2612223000</v>
      </c>
      <c r="AM150" s="4">
        <v>2390373500</v>
      </c>
      <c r="AN150" s="4">
        <v>2693019300</v>
      </c>
      <c r="AO150" s="4">
        <v>3011945100</v>
      </c>
      <c r="AP150" s="4">
        <v>2254471100</v>
      </c>
      <c r="AQ150" s="4">
        <v>2439939300</v>
      </c>
      <c r="AR150" s="4">
        <v>2507967400</v>
      </c>
      <c r="AS150" s="4">
        <v>2375449500</v>
      </c>
      <c r="AT150" s="4">
        <v>2481824500</v>
      </c>
      <c r="AU150" s="4">
        <v>2437281600</v>
      </c>
      <c r="AV150" s="4">
        <v>2470883900</v>
      </c>
      <c r="AW150" s="4">
        <v>2439535000</v>
      </c>
      <c r="AX150" s="4">
        <v>1676435400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</row>
  </sheetData>
  <autoFilter ref="A1:BL150" xr:uid="{DCA55D4A-3086-4E7E-9605-9E31EA2C3030}">
    <sortState xmlns:xlrd2="http://schemas.microsoft.com/office/spreadsheetml/2017/richdata2" ref="A2:BL150">
      <sortCondition ref="D1:D150"/>
    </sortState>
  </autoFilter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970D-B2E3-4F70-987E-11F5EC1BB7DA}">
  <dimension ref="A1:BM160"/>
  <sheetViews>
    <sheetView zoomScale="90" zoomScaleNormal="9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ColWidth="11.42578125" defaultRowHeight="15" x14ac:dyDescent="0.25"/>
  <cols>
    <col min="1" max="1" width="4.140625" bestFit="1" customWidth="1"/>
    <col min="2" max="2" width="14.7109375" customWidth="1"/>
    <col min="3" max="3" width="11.42578125" bestFit="1" customWidth="1"/>
    <col min="4" max="4" width="30" customWidth="1"/>
    <col min="5" max="5" width="18.140625" bestFit="1" customWidth="1"/>
    <col min="6" max="29" width="18.140625" customWidth="1"/>
    <col min="30" max="30" width="16.85546875" style="5" bestFit="1" customWidth="1"/>
    <col min="31" max="36" width="15.7109375" style="5" bestFit="1" customWidth="1"/>
    <col min="37" max="42" width="16.85546875" style="5" bestFit="1" customWidth="1"/>
    <col min="43" max="43" width="15.7109375" style="5" bestFit="1" customWidth="1"/>
    <col min="44" max="54" width="16.85546875" style="5" bestFit="1" customWidth="1"/>
    <col min="55" max="55" width="16.7109375" style="5" bestFit="1" customWidth="1"/>
    <col min="56" max="56" width="16.85546875" style="5" bestFit="1" customWidth="1"/>
    <col min="57" max="58" width="16.7109375" style="5" bestFit="1" customWidth="1"/>
    <col min="59" max="65" width="16.85546875" style="5" bestFit="1" customWidth="1"/>
  </cols>
  <sheetData>
    <row r="1" spans="1:65" s="2" customFormat="1" x14ac:dyDescent="0.25">
      <c r="A1" s="1" t="s">
        <v>0</v>
      </c>
      <c r="B1" s="1" t="s">
        <v>252</v>
      </c>
      <c r="C1" s="1" t="s">
        <v>1</v>
      </c>
      <c r="D1" s="1" t="s">
        <v>2</v>
      </c>
      <c r="E1" s="1" t="s">
        <v>3</v>
      </c>
      <c r="F1" s="7">
        <v>41640</v>
      </c>
      <c r="G1" s="7">
        <v>41671</v>
      </c>
      <c r="H1" s="7">
        <v>41699</v>
      </c>
      <c r="I1" s="7">
        <v>41730</v>
      </c>
      <c r="J1" s="7">
        <v>41760</v>
      </c>
      <c r="K1" s="7">
        <v>41791</v>
      </c>
      <c r="L1" s="7">
        <v>41821</v>
      </c>
      <c r="M1" s="7">
        <v>41852</v>
      </c>
      <c r="N1" s="7">
        <v>41883</v>
      </c>
      <c r="O1" s="7">
        <v>41913</v>
      </c>
      <c r="P1" s="7">
        <v>41944</v>
      </c>
      <c r="Q1" s="7">
        <v>41974</v>
      </c>
      <c r="R1" s="7">
        <v>42005</v>
      </c>
      <c r="S1" s="7">
        <v>42036</v>
      </c>
      <c r="T1" s="7">
        <v>42064</v>
      </c>
      <c r="U1" s="7">
        <v>42095</v>
      </c>
      <c r="V1" s="7">
        <v>42125</v>
      </c>
      <c r="W1" s="7">
        <v>42156</v>
      </c>
      <c r="X1" s="7">
        <v>42186</v>
      </c>
      <c r="Y1" s="7">
        <v>42217</v>
      </c>
      <c r="Z1" s="7">
        <v>42248</v>
      </c>
      <c r="AA1" s="7">
        <v>42278</v>
      </c>
      <c r="AB1" s="7">
        <v>42309</v>
      </c>
      <c r="AC1" s="7">
        <v>42339</v>
      </c>
      <c r="AD1" s="7">
        <v>42370</v>
      </c>
      <c r="AE1" s="7">
        <v>42401</v>
      </c>
      <c r="AF1" s="7">
        <v>42430</v>
      </c>
      <c r="AG1" s="7">
        <v>42461</v>
      </c>
      <c r="AH1" s="7">
        <v>42491</v>
      </c>
      <c r="AI1" s="7">
        <v>42522</v>
      </c>
      <c r="AJ1" s="7">
        <v>42552</v>
      </c>
      <c r="AK1" s="7">
        <v>42583</v>
      </c>
      <c r="AL1" s="7">
        <v>42614</v>
      </c>
      <c r="AM1" s="7">
        <v>42644</v>
      </c>
      <c r="AN1" s="7">
        <v>42675</v>
      </c>
      <c r="AO1" s="7">
        <v>42705</v>
      </c>
      <c r="AP1" s="7">
        <v>42736</v>
      </c>
      <c r="AQ1" s="7">
        <v>42767</v>
      </c>
      <c r="AR1" s="7">
        <v>42795</v>
      </c>
      <c r="AS1" s="7">
        <v>42826</v>
      </c>
      <c r="AT1" s="7">
        <v>42856</v>
      </c>
      <c r="AU1" s="7">
        <v>42887</v>
      </c>
      <c r="AV1" s="7">
        <v>42917</v>
      </c>
      <c r="AW1" s="7">
        <v>42948</v>
      </c>
      <c r="AX1" s="7">
        <v>42979</v>
      </c>
      <c r="AY1" s="7">
        <v>43009</v>
      </c>
      <c r="AZ1" s="7">
        <v>43040</v>
      </c>
      <c r="BA1" s="7">
        <v>43070</v>
      </c>
      <c r="BB1" s="7">
        <v>43101</v>
      </c>
      <c r="BC1" s="7">
        <v>43132</v>
      </c>
      <c r="BD1" s="7">
        <v>43160</v>
      </c>
      <c r="BE1" s="7">
        <v>43191</v>
      </c>
      <c r="BF1" s="7">
        <v>43221</v>
      </c>
      <c r="BG1" s="7">
        <v>43252</v>
      </c>
      <c r="BH1" s="7">
        <v>43282</v>
      </c>
      <c r="BI1" s="7">
        <v>43313</v>
      </c>
      <c r="BJ1" s="7">
        <v>43344</v>
      </c>
      <c r="BK1" s="7">
        <v>43374</v>
      </c>
      <c r="BL1" s="7">
        <v>43405</v>
      </c>
      <c r="BM1" s="7">
        <v>43435</v>
      </c>
    </row>
    <row r="2" spans="1:65" x14ac:dyDescent="0.25">
      <c r="A2" s="1">
        <v>99</v>
      </c>
      <c r="B2" s="1">
        <f>VLOOKUP(E2,'[2]Peajes (1)'!$A:$D,4,0)</f>
        <v>3846</v>
      </c>
      <c r="C2" s="3" t="s">
        <v>147</v>
      </c>
      <c r="D2" s="3" t="s">
        <v>148</v>
      </c>
      <c r="E2" s="3" t="s">
        <v>149</v>
      </c>
      <c r="F2" s="4">
        <f>[1]P3!C286+[1]P3!D286</f>
        <v>0</v>
      </c>
      <c r="G2" s="4">
        <f>[1]P3!E286</f>
        <v>0</v>
      </c>
      <c r="H2" s="4">
        <f>[1]P3!F286</f>
        <v>0</v>
      </c>
      <c r="I2" s="4">
        <f>[1]P3!G286</f>
        <v>0</v>
      </c>
      <c r="J2" s="4">
        <f>[1]P3!H286</f>
        <v>0</v>
      </c>
      <c r="K2" s="4">
        <f>[1]P3!I286</f>
        <v>0</v>
      </c>
      <c r="L2" s="4">
        <f>[1]P3!J286</f>
        <v>0</v>
      </c>
      <c r="M2" s="4">
        <f>[1]P3!K286</f>
        <v>0</v>
      </c>
      <c r="N2" s="4">
        <f>[1]P3!L286</f>
        <v>0</v>
      </c>
      <c r="O2" s="4">
        <f>[1]P3!M286</f>
        <v>0</v>
      </c>
      <c r="P2" s="4">
        <f>[1]P3!N286</f>
        <v>0</v>
      </c>
      <c r="Q2" s="4">
        <f>[1]P3!O286</f>
        <v>633225900</v>
      </c>
      <c r="R2" s="4">
        <v>655365800</v>
      </c>
      <c r="S2" s="4">
        <v>501635500</v>
      </c>
      <c r="T2" s="4">
        <v>568536100</v>
      </c>
      <c r="U2" s="4">
        <v>556070200</v>
      </c>
      <c r="V2" s="4">
        <v>569390900</v>
      </c>
      <c r="W2" s="4">
        <v>582916900</v>
      </c>
      <c r="X2" s="4">
        <v>601202029</v>
      </c>
      <c r="Y2" s="4">
        <v>593343500</v>
      </c>
      <c r="Z2" s="4">
        <v>564905500</v>
      </c>
      <c r="AA2" s="4">
        <v>613282500</v>
      </c>
      <c r="AB2" s="4">
        <v>607914900</v>
      </c>
      <c r="AC2" s="4">
        <v>742967950</v>
      </c>
      <c r="AD2" s="4">
        <v>734081100</v>
      </c>
      <c r="AE2" s="4">
        <v>599925400</v>
      </c>
      <c r="AF2" s="4">
        <v>670704200</v>
      </c>
      <c r="AG2" s="4">
        <v>588188700</v>
      </c>
      <c r="AH2" s="4">
        <v>646357200</v>
      </c>
      <c r="AI2" s="4">
        <v>661336500</v>
      </c>
      <c r="AJ2" s="4">
        <v>699778100</v>
      </c>
      <c r="AK2" s="4">
        <v>691698200</v>
      </c>
      <c r="AL2" s="4">
        <v>658577400</v>
      </c>
      <c r="AM2" s="4">
        <v>709349700</v>
      </c>
      <c r="AN2" s="4">
        <v>706227000</v>
      </c>
      <c r="AO2" s="4">
        <v>803528400</v>
      </c>
      <c r="AP2" s="4">
        <v>826667600</v>
      </c>
      <c r="AQ2" s="4">
        <v>667394100</v>
      </c>
      <c r="AR2" s="4">
        <v>760795600</v>
      </c>
      <c r="AS2" s="4">
        <v>762151800</v>
      </c>
      <c r="AT2" s="4">
        <v>763950500</v>
      </c>
      <c r="AU2" s="4">
        <v>742053600</v>
      </c>
      <c r="AV2" s="4">
        <v>801009500</v>
      </c>
      <c r="AW2" s="4">
        <v>767779200</v>
      </c>
      <c r="AX2" s="4">
        <v>702351000</v>
      </c>
      <c r="AY2" s="4">
        <v>717103900</v>
      </c>
      <c r="AZ2" s="4">
        <v>816278700</v>
      </c>
      <c r="BA2" s="4">
        <v>919063600</v>
      </c>
      <c r="BB2" s="4">
        <v>1354646000</v>
      </c>
      <c r="BC2" s="4">
        <v>1552919150</v>
      </c>
      <c r="BD2" s="4">
        <v>1430949000</v>
      </c>
      <c r="BE2" s="4">
        <v>1107747800</v>
      </c>
      <c r="BF2" s="4">
        <v>1217613100</v>
      </c>
      <c r="BG2" s="4">
        <v>1584564500</v>
      </c>
      <c r="BH2" s="4">
        <v>1925055900</v>
      </c>
      <c r="BI2" s="4">
        <v>1927190700</v>
      </c>
      <c r="BJ2" s="4">
        <v>1712171500</v>
      </c>
      <c r="BK2" s="4">
        <v>1859298900</v>
      </c>
      <c r="BL2" s="4">
        <v>1812760800</v>
      </c>
      <c r="BM2" s="4">
        <v>1925974100</v>
      </c>
    </row>
    <row r="3" spans="1:65" x14ac:dyDescent="0.25">
      <c r="A3" s="1">
        <v>78</v>
      </c>
      <c r="B3" s="1">
        <f>VLOOKUP(E3,'[2]Peajes (1)'!$A:$D,4,0)</f>
        <v>3937</v>
      </c>
      <c r="C3" s="3" t="s">
        <v>112</v>
      </c>
      <c r="D3" s="3" t="s">
        <v>113</v>
      </c>
      <c r="E3" s="3" t="s">
        <v>114</v>
      </c>
      <c r="F3" s="4">
        <f>[1]RDS2!C286+[1]RDS2!D286</f>
        <v>2561479700</v>
      </c>
      <c r="G3" s="4">
        <f>[1]RDS2!E286</f>
        <v>1987096100</v>
      </c>
      <c r="H3" s="4">
        <f>[1]RDS2!F286</f>
        <v>2102758800</v>
      </c>
      <c r="I3" s="4">
        <f>[1]RDS2!G286</f>
        <v>2307533200</v>
      </c>
      <c r="J3" s="4">
        <f>[1]RDS2!H286</f>
        <v>1298448700</v>
      </c>
      <c r="K3" s="4">
        <f>[1]RDS2!I286</f>
        <v>2265932200</v>
      </c>
      <c r="L3" s="4">
        <f>[1]RDS2!J286</f>
        <v>2525486800</v>
      </c>
      <c r="M3" s="4">
        <f>[1]RDS2!K286</f>
        <v>2293193000</v>
      </c>
      <c r="N3" s="4">
        <f>[1]RDS2!L286</f>
        <v>2347483800</v>
      </c>
      <c r="O3" s="4">
        <f>[1]RDS2!M286</f>
        <v>2558532300</v>
      </c>
      <c r="P3" s="4">
        <f>[1]RDS2!N286</f>
        <v>2089922900</v>
      </c>
      <c r="Q3" s="4">
        <f>[1]RDS2!O286</f>
        <v>2443851600</v>
      </c>
      <c r="R3" s="4">
        <v>2532499000</v>
      </c>
      <c r="S3" s="4">
        <v>2221603700</v>
      </c>
      <c r="T3" s="4">
        <v>2409368100</v>
      </c>
      <c r="U3" s="4">
        <v>2357129900</v>
      </c>
      <c r="V3" s="4">
        <v>2368200100</v>
      </c>
      <c r="W3" s="4">
        <v>2368160500</v>
      </c>
      <c r="X3" s="4">
        <v>2800752900</v>
      </c>
      <c r="Y3" s="4">
        <v>2787167500</v>
      </c>
      <c r="Z3" s="4">
        <v>2675038000</v>
      </c>
      <c r="AA3" s="4">
        <v>2842764400</v>
      </c>
      <c r="AB3" s="4">
        <v>2697742100</v>
      </c>
      <c r="AC3" s="4">
        <v>2969306600</v>
      </c>
      <c r="AD3" s="4">
        <v>3063540700</v>
      </c>
      <c r="AE3" s="4">
        <v>2457978800</v>
      </c>
      <c r="AF3" s="4">
        <v>2685764700</v>
      </c>
      <c r="AG3" s="4">
        <v>2546234700</v>
      </c>
      <c r="AH3" s="4">
        <v>2491920100</v>
      </c>
      <c r="AI3" s="4">
        <v>2597787900</v>
      </c>
      <c r="AJ3" s="4">
        <v>2388458400</v>
      </c>
      <c r="AK3" s="4">
        <v>2734145200</v>
      </c>
      <c r="AL3" s="4">
        <v>2579418500</v>
      </c>
      <c r="AM3" s="4">
        <v>2741272300</v>
      </c>
      <c r="AN3" s="4">
        <v>2622276500</v>
      </c>
      <c r="AO3" s="4">
        <v>3065557200</v>
      </c>
      <c r="AP3" s="4">
        <v>3295425100</v>
      </c>
      <c r="AQ3" s="4">
        <v>2577829600</v>
      </c>
      <c r="AR3" s="4">
        <v>2767695600</v>
      </c>
      <c r="AS3" s="4">
        <v>2824812100</v>
      </c>
      <c r="AT3" s="4">
        <v>2679812400</v>
      </c>
      <c r="AU3" s="4">
        <v>2805698300</v>
      </c>
      <c r="AV3" s="4">
        <v>2773621500</v>
      </c>
      <c r="AW3" s="4">
        <v>2786738900</v>
      </c>
      <c r="AX3" s="4">
        <v>2742259100</v>
      </c>
      <c r="AY3" s="4">
        <v>1893404600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</row>
    <row r="4" spans="1:65" x14ac:dyDescent="0.25">
      <c r="A4" s="1">
        <v>52</v>
      </c>
      <c r="B4" s="1">
        <f>VLOOKUP(E4,'[2]Peajes (1)'!$A:$D,4,0)</f>
        <v>3935</v>
      </c>
      <c r="C4" s="3" t="s">
        <v>79</v>
      </c>
      <c r="D4" s="3" t="s">
        <v>80</v>
      </c>
      <c r="E4" s="3" t="s">
        <v>81</v>
      </c>
      <c r="F4" s="4">
        <f>[1]BTS!C286+[1]BTS!D286</f>
        <v>2814532500</v>
      </c>
      <c r="G4" s="4">
        <f>[1]BTS!E286</f>
        <v>2150715500</v>
      </c>
      <c r="H4" s="4">
        <f>[1]BTS!F286</f>
        <v>2454205500</v>
      </c>
      <c r="I4" s="4">
        <f>[1]BTS!G286</f>
        <v>2514977300</v>
      </c>
      <c r="J4" s="4">
        <f>[1]BTS!H286</f>
        <v>2133125800</v>
      </c>
      <c r="K4" s="4">
        <f>[1]BTS!I286</f>
        <v>2538499800</v>
      </c>
      <c r="L4" s="4">
        <f>[1]BTS!J286</f>
        <v>2460351400</v>
      </c>
      <c r="M4" s="4">
        <f>[1]BTS!K286</f>
        <v>2594860700</v>
      </c>
      <c r="N4" s="4">
        <f>[1]BTS!L286</f>
        <v>2286220800</v>
      </c>
      <c r="O4" s="4">
        <f>[1]BTS!M286</f>
        <v>2620097900</v>
      </c>
      <c r="P4" s="4">
        <f>[1]BTS!N286</f>
        <v>2520503000</v>
      </c>
      <c r="Q4" s="4">
        <f>[1]BTS!O286</f>
        <v>3330089000</v>
      </c>
      <c r="R4" s="4">
        <v>3178927200</v>
      </c>
      <c r="S4" s="4">
        <v>2371863000</v>
      </c>
      <c r="T4" s="4">
        <v>2477350700</v>
      </c>
      <c r="U4" s="4">
        <v>2812975600</v>
      </c>
      <c r="V4" s="4">
        <v>2860793700</v>
      </c>
      <c r="W4" s="4">
        <v>2968398800</v>
      </c>
      <c r="X4" s="4">
        <v>2899597800</v>
      </c>
      <c r="Y4" s="4">
        <v>2866244100</v>
      </c>
      <c r="Z4" s="4">
        <v>2568048700</v>
      </c>
      <c r="AA4" s="4">
        <v>2977725400</v>
      </c>
      <c r="AB4" s="4">
        <v>2822675900</v>
      </c>
      <c r="AC4" s="4">
        <v>3716218800</v>
      </c>
      <c r="AD4" s="4">
        <v>3441440200</v>
      </c>
      <c r="AE4" s="4">
        <v>2654732550</v>
      </c>
      <c r="AF4" s="4">
        <v>3333470000</v>
      </c>
      <c r="AG4" s="4">
        <v>2660926350</v>
      </c>
      <c r="AH4" s="4">
        <v>3043249950</v>
      </c>
      <c r="AI4" s="4">
        <v>2723498700</v>
      </c>
      <c r="AJ4" s="4">
        <v>2450402650</v>
      </c>
      <c r="AK4" s="4">
        <v>3211851900</v>
      </c>
      <c r="AL4" s="4">
        <v>2830068250</v>
      </c>
      <c r="AM4" s="4">
        <v>3183902950</v>
      </c>
      <c r="AN4" s="4">
        <v>3024431200</v>
      </c>
      <c r="AO4" s="4">
        <v>4008517050</v>
      </c>
      <c r="AP4" s="4">
        <v>3734202700</v>
      </c>
      <c r="AQ4" s="4">
        <v>2916730050</v>
      </c>
      <c r="AR4" s="4">
        <v>3195804850</v>
      </c>
      <c r="AS4" s="4">
        <v>3457976700</v>
      </c>
      <c r="AT4" s="4">
        <v>3253392850</v>
      </c>
      <c r="AU4" s="4">
        <v>3329043050</v>
      </c>
      <c r="AV4" s="4">
        <v>3521676000</v>
      </c>
      <c r="AW4" s="4">
        <v>3519567750</v>
      </c>
      <c r="AX4" s="4">
        <v>3066443050</v>
      </c>
      <c r="AY4" s="4">
        <v>3508570350</v>
      </c>
      <c r="AZ4" s="4">
        <v>3390989350</v>
      </c>
      <c r="BA4" s="4">
        <v>4621163150</v>
      </c>
      <c r="BB4" s="4">
        <v>4166305550</v>
      </c>
      <c r="BC4" s="4">
        <v>3050097750</v>
      </c>
      <c r="BD4" s="4">
        <v>3795024050</v>
      </c>
      <c r="BE4" s="4">
        <v>3276038050</v>
      </c>
      <c r="BF4" s="4">
        <v>3402289100</v>
      </c>
      <c r="BG4" s="4">
        <v>3752587200</v>
      </c>
      <c r="BH4" s="4">
        <v>3915513800</v>
      </c>
      <c r="BI4" s="4">
        <v>3957627650</v>
      </c>
      <c r="BJ4" s="4">
        <v>3556600750</v>
      </c>
      <c r="BK4" s="4">
        <v>3947597000</v>
      </c>
      <c r="BL4" s="4">
        <v>3906217550</v>
      </c>
      <c r="BM4" s="4">
        <v>5244128600</v>
      </c>
    </row>
    <row r="5" spans="1:65" x14ac:dyDescent="0.25">
      <c r="A5" s="1">
        <v>146</v>
      </c>
      <c r="B5" s="1">
        <f>VLOOKUP(E5,'[2]Peajes (1)'!$A:$D,4,0)</f>
        <v>3816</v>
      </c>
      <c r="C5" s="3" t="s">
        <v>218</v>
      </c>
      <c r="D5" s="3" t="s">
        <v>219</v>
      </c>
      <c r="E5" s="3" t="s">
        <v>220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197648700</v>
      </c>
      <c r="AA5" s="4">
        <v>779824200</v>
      </c>
      <c r="AB5" s="4">
        <v>781302100</v>
      </c>
      <c r="AC5" s="4">
        <v>912382100</v>
      </c>
      <c r="AD5" s="4">
        <v>897229200</v>
      </c>
      <c r="AE5" s="4">
        <v>727568200</v>
      </c>
      <c r="AF5" s="4">
        <v>849542000</v>
      </c>
      <c r="AG5" s="4">
        <v>775343900</v>
      </c>
      <c r="AH5" s="4">
        <v>836189800</v>
      </c>
      <c r="AI5" s="4">
        <v>782643600</v>
      </c>
      <c r="AJ5" s="4">
        <v>797252500</v>
      </c>
      <c r="AK5" s="4">
        <v>899136600</v>
      </c>
      <c r="AL5" s="4">
        <v>890835600</v>
      </c>
      <c r="AM5" s="4">
        <v>986426700</v>
      </c>
      <c r="AN5" s="4">
        <v>976688000</v>
      </c>
      <c r="AO5" s="4">
        <v>1083914600</v>
      </c>
      <c r="AP5" s="4">
        <v>1026025200</v>
      </c>
      <c r="AQ5" s="4">
        <v>831348800</v>
      </c>
      <c r="AR5" s="4">
        <v>922533400</v>
      </c>
      <c r="AS5" s="4">
        <v>945317700</v>
      </c>
      <c r="AT5" s="4">
        <v>859769500</v>
      </c>
      <c r="AU5" s="4">
        <v>907360800</v>
      </c>
      <c r="AV5" s="4">
        <v>937902900</v>
      </c>
      <c r="AW5" s="4">
        <v>937030100</v>
      </c>
      <c r="AX5" s="4">
        <v>862162100</v>
      </c>
      <c r="AY5" s="4">
        <v>913620100</v>
      </c>
      <c r="AZ5" s="4">
        <v>909386800</v>
      </c>
      <c r="BA5" s="4">
        <v>1047607000</v>
      </c>
      <c r="BB5" s="4">
        <v>1052404750</v>
      </c>
      <c r="BC5" s="4">
        <v>820941300</v>
      </c>
      <c r="BD5" s="4">
        <v>964838000</v>
      </c>
      <c r="BE5" s="4">
        <v>832832200</v>
      </c>
      <c r="BF5" s="4">
        <v>883287900</v>
      </c>
      <c r="BG5" s="4">
        <v>842452800</v>
      </c>
      <c r="BH5" s="4">
        <v>878718500</v>
      </c>
      <c r="BI5" s="4">
        <v>878398600</v>
      </c>
      <c r="BJ5" s="4">
        <v>851838800</v>
      </c>
      <c r="BK5" s="4">
        <v>946871200</v>
      </c>
      <c r="BL5" s="4">
        <v>951010200</v>
      </c>
      <c r="BM5" s="4">
        <v>1088629800</v>
      </c>
    </row>
    <row r="6" spans="1:65" x14ac:dyDescent="0.25">
      <c r="A6" s="1">
        <v>34</v>
      </c>
      <c r="B6" s="1">
        <f>VLOOKUP(E6,'[2]Peajes (1)'!$A:$D,4,0)</f>
        <v>3818</v>
      </c>
      <c r="C6" s="3" t="s">
        <v>53</v>
      </c>
      <c r="D6" s="3" t="s">
        <v>54</v>
      </c>
      <c r="E6" s="3" t="s">
        <v>55</v>
      </c>
      <c r="F6" s="4">
        <f>[1]SMP!C426+[1]SMP!D426</f>
        <v>801339700</v>
      </c>
      <c r="G6" s="4">
        <f>[1]SMP!E426</f>
        <v>630348700</v>
      </c>
      <c r="H6" s="4">
        <f>[1]SMP!F426</f>
        <v>664797400</v>
      </c>
      <c r="I6" s="4">
        <f>[1]SMP!G426</f>
        <v>677427600</v>
      </c>
      <c r="J6" s="4">
        <f>[1]SMP!H426</f>
        <v>673955900</v>
      </c>
      <c r="K6" s="4">
        <f>[1]SMP!I426</f>
        <v>685687500</v>
      </c>
      <c r="L6" s="4">
        <f>[1]SMP!J426</f>
        <v>720575500</v>
      </c>
      <c r="M6" s="4">
        <f>[1]SMP!K426</f>
        <v>690469500</v>
      </c>
      <c r="N6" s="4">
        <f>[1]SMP!L426</f>
        <v>638940100</v>
      </c>
      <c r="O6" s="4">
        <f>[1]SMP!M426</f>
        <v>624087200</v>
      </c>
      <c r="P6" s="4">
        <f>[1]SMP!N426</f>
        <v>632359900</v>
      </c>
      <c r="Q6" s="4">
        <f>[1]SMP!O426</f>
        <v>726667100</v>
      </c>
      <c r="R6" s="4">
        <v>672715700</v>
      </c>
      <c r="S6" s="4">
        <v>552913500</v>
      </c>
      <c r="T6" s="4">
        <v>644531100</v>
      </c>
      <c r="U6" s="4">
        <v>634068600</v>
      </c>
      <c r="V6" s="4">
        <v>684715100</v>
      </c>
      <c r="W6" s="4">
        <v>645065300</v>
      </c>
      <c r="X6" s="4">
        <v>660786800</v>
      </c>
      <c r="Y6" s="4">
        <v>680563600</v>
      </c>
      <c r="Z6" s="4">
        <v>577708200</v>
      </c>
      <c r="AA6" s="4">
        <v>647896600</v>
      </c>
      <c r="AB6" s="4">
        <v>613582200</v>
      </c>
      <c r="AC6" s="4">
        <v>763583800</v>
      </c>
      <c r="AD6" s="4">
        <v>711399300</v>
      </c>
      <c r="AE6" s="4">
        <v>658404800</v>
      </c>
      <c r="AF6" s="4">
        <v>742849600</v>
      </c>
      <c r="AG6" s="4">
        <v>700097200</v>
      </c>
      <c r="AH6" s="4">
        <v>840477200</v>
      </c>
      <c r="AI6" s="4">
        <v>775326500</v>
      </c>
      <c r="AJ6" s="4">
        <v>779730000</v>
      </c>
      <c r="AK6" s="4">
        <v>764325800</v>
      </c>
      <c r="AL6" s="4">
        <v>729998300</v>
      </c>
      <c r="AM6" s="4">
        <v>772537000</v>
      </c>
      <c r="AN6" s="4">
        <v>821051400</v>
      </c>
      <c r="AO6" s="4">
        <v>938535100</v>
      </c>
      <c r="AP6" s="4">
        <v>854625100</v>
      </c>
      <c r="AQ6" s="4">
        <v>787179300</v>
      </c>
      <c r="AR6" s="4">
        <v>909125900</v>
      </c>
      <c r="AS6" s="4">
        <v>855524700</v>
      </c>
      <c r="AT6" s="4">
        <v>1032711600</v>
      </c>
      <c r="AU6" s="4">
        <v>936704200</v>
      </c>
      <c r="AV6" s="4">
        <v>1037302800</v>
      </c>
      <c r="AW6" s="4">
        <v>1027317400</v>
      </c>
      <c r="AX6" s="4">
        <v>949416200</v>
      </c>
      <c r="AY6" s="4">
        <v>1011560700</v>
      </c>
      <c r="AZ6" s="4">
        <v>905728600</v>
      </c>
      <c r="BA6" s="4">
        <v>1116498900</v>
      </c>
      <c r="BB6" s="4">
        <v>1040235000</v>
      </c>
      <c r="BC6" s="4">
        <v>901487100</v>
      </c>
      <c r="BD6" s="4">
        <v>1047426700</v>
      </c>
      <c r="BE6" s="4">
        <v>999982600</v>
      </c>
      <c r="BF6" s="4">
        <v>994672300</v>
      </c>
      <c r="BG6" s="4">
        <v>958756300</v>
      </c>
      <c r="BH6" s="4">
        <v>1015934600</v>
      </c>
      <c r="BI6" s="4">
        <v>991399700</v>
      </c>
      <c r="BJ6" s="4">
        <v>961139300</v>
      </c>
      <c r="BK6" s="4">
        <v>952158600</v>
      </c>
      <c r="BL6" s="4">
        <v>955777300</v>
      </c>
      <c r="BM6" s="4">
        <v>1225961600</v>
      </c>
    </row>
    <row r="7" spans="1:65" x14ac:dyDescent="0.25">
      <c r="A7" s="1">
        <v>123</v>
      </c>
      <c r="B7" s="1">
        <f>VLOOKUP(E7,'[2]Peajes (1)'!$A:$D,4,0)</f>
        <v>3983</v>
      </c>
      <c r="C7" s="3" t="s">
        <v>185</v>
      </c>
      <c r="D7" s="3" t="s">
        <v>186</v>
      </c>
      <c r="E7" s="3" t="s">
        <v>187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430320000</v>
      </c>
      <c r="Z7" s="4">
        <v>1282064400</v>
      </c>
      <c r="AA7" s="4">
        <v>1392954400</v>
      </c>
      <c r="AB7" s="4">
        <v>1370377100</v>
      </c>
      <c r="AC7" s="4">
        <v>1584199700</v>
      </c>
      <c r="AD7" s="4">
        <v>1659429200</v>
      </c>
      <c r="AE7" s="4">
        <v>1320767100</v>
      </c>
      <c r="AF7" s="4">
        <v>1451902800</v>
      </c>
      <c r="AG7" s="4">
        <v>1400596000</v>
      </c>
      <c r="AH7" s="4">
        <v>1410749500</v>
      </c>
      <c r="AI7" s="4">
        <v>1422936500</v>
      </c>
      <c r="AJ7" s="4">
        <v>1408058500</v>
      </c>
      <c r="AK7" s="4">
        <v>1510539700</v>
      </c>
      <c r="AL7" s="4">
        <v>1471005900</v>
      </c>
      <c r="AM7" s="4">
        <v>1936345000</v>
      </c>
      <c r="AN7" s="4">
        <v>1873130100</v>
      </c>
      <c r="AO7" s="4">
        <v>2102307900</v>
      </c>
      <c r="AP7" s="4">
        <v>2227833900</v>
      </c>
      <c r="AQ7" s="4">
        <v>1769182500</v>
      </c>
      <c r="AR7" s="4">
        <v>1974480000</v>
      </c>
      <c r="AS7" s="4">
        <v>1963204300</v>
      </c>
      <c r="AT7" s="4">
        <v>1979664050</v>
      </c>
      <c r="AU7" s="4">
        <v>2040760100</v>
      </c>
      <c r="AV7" s="4">
        <v>2100175750</v>
      </c>
      <c r="AW7" s="4">
        <v>2070701600</v>
      </c>
      <c r="AX7" s="4">
        <v>1922039100</v>
      </c>
      <c r="AY7" s="4">
        <v>2012781000</v>
      </c>
      <c r="AZ7" s="4">
        <v>1975753550</v>
      </c>
      <c r="BA7" s="4">
        <v>2192795200</v>
      </c>
      <c r="BB7" s="4">
        <v>2323889900</v>
      </c>
      <c r="BC7" s="4">
        <v>1796297350</v>
      </c>
      <c r="BD7" s="4">
        <v>2084340600</v>
      </c>
      <c r="BE7" s="4">
        <v>1961084950</v>
      </c>
      <c r="BF7" s="4">
        <v>2001270000</v>
      </c>
      <c r="BG7" s="4">
        <v>2051161800</v>
      </c>
      <c r="BH7" s="4">
        <v>2109909700</v>
      </c>
      <c r="BI7" s="4">
        <v>2109416500</v>
      </c>
      <c r="BJ7" s="4">
        <v>1978283100</v>
      </c>
      <c r="BK7" s="4">
        <v>2077298650</v>
      </c>
      <c r="BL7" s="4">
        <v>1962879400</v>
      </c>
      <c r="BM7" s="4">
        <v>2167650700</v>
      </c>
    </row>
    <row r="8" spans="1:65" x14ac:dyDescent="0.25">
      <c r="A8" s="1">
        <v>96</v>
      </c>
      <c r="B8" s="1">
        <f>VLOOKUP(E8,'[2]Peajes (1)'!$A:$D,4,0)</f>
        <v>3822</v>
      </c>
      <c r="C8" s="3" t="s">
        <v>140</v>
      </c>
      <c r="D8" s="3" t="s">
        <v>141</v>
      </c>
      <c r="E8" s="3" t="s">
        <v>142</v>
      </c>
      <c r="F8" s="4">
        <f>[1]P1!C146+[1]P1!D146</f>
        <v>0</v>
      </c>
      <c r="G8" s="4">
        <f>[1]P1!E146</f>
        <v>0</v>
      </c>
      <c r="H8" s="4">
        <f>[1]P1!F146</f>
        <v>0</v>
      </c>
      <c r="I8" s="4">
        <f>[1]P1!G146</f>
        <v>0</v>
      </c>
      <c r="J8" s="4">
        <f>[1]P1!H146</f>
        <v>0</v>
      </c>
      <c r="K8" s="4">
        <f>[1]P1!I146</f>
        <v>0</v>
      </c>
      <c r="L8" s="4">
        <f>[1]P1!J146</f>
        <v>0</v>
      </c>
      <c r="M8" s="4">
        <f>[1]P1!K146</f>
        <v>0</v>
      </c>
      <c r="N8" s="4">
        <f>[1]P1!L146</f>
        <v>0</v>
      </c>
      <c r="O8" s="4">
        <f>[1]P1!M146</f>
        <v>0</v>
      </c>
      <c r="P8" s="4">
        <f>[1]P1!N146</f>
        <v>1351948900</v>
      </c>
      <c r="Q8" s="4">
        <f>[1]P1!O146</f>
        <v>1582020700</v>
      </c>
      <c r="R8" s="4">
        <v>1522259300</v>
      </c>
      <c r="S8" s="4">
        <v>1224401900</v>
      </c>
      <c r="T8" s="4">
        <v>1412592500</v>
      </c>
      <c r="U8" s="4">
        <v>1374062000</v>
      </c>
      <c r="V8" s="4">
        <v>1545062000</v>
      </c>
      <c r="W8" s="4">
        <v>1584246600</v>
      </c>
      <c r="X8" s="4">
        <v>1477023900</v>
      </c>
      <c r="Y8" s="4">
        <v>1533025650</v>
      </c>
      <c r="Z8" s="4">
        <v>1443723200</v>
      </c>
      <c r="AA8" s="4">
        <v>1606358050</v>
      </c>
      <c r="AB8" s="4">
        <v>1388381100</v>
      </c>
      <c r="AC8" s="4">
        <v>1713478100</v>
      </c>
      <c r="AD8" s="4">
        <v>1723802500</v>
      </c>
      <c r="AE8" s="4">
        <v>1559518400</v>
      </c>
      <c r="AF8" s="4">
        <v>1842971250</v>
      </c>
      <c r="AG8" s="4">
        <v>1633986600</v>
      </c>
      <c r="AH8" s="4">
        <v>1775509350</v>
      </c>
      <c r="AI8" s="4">
        <v>1676150150</v>
      </c>
      <c r="AJ8" s="4">
        <v>1696085700</v>
      </c>
      <c r="AK8" s="4">
        <v>1867129350</v>
      </c>
      <c r="AL8" s="4">
        <v>1601802800</v>
      </c>
      <c r="AM8" s="4">
        <v>1711778700</v>
      </c>
      <c r="AN8" s="4">
        <v>1619610800</v>
      </c>
      <c r="AO8" s="4">
        <v>1864110800</v>
      </c>
      <c r="AP8" s="4">
        <v>1874218800</v>
      </c>
      <c r="AQ8" s="4">
        <v>1571031750</v>
      </c>
      <c r="AR8" s="4">
        <v>1705003600</v>
      </c>
      <c r="AS8" s="4">
        <v>1795704000</v>
      </c>
      <c r="AT8" s="4">
        <v>1771529850</v>
      </c>
      <c r="AU8" s="4">
        <v>1842385800</v>
      </c>
      <c r="AV8" s="4">
        <v>1901705000</v>
      </c>
      <c r="AW8" s="4">
        <v>1808113500</v>
      </c>
      <c r="AX8" s="4">
        <v>1548714300</v>
      </c>
      <c r="AY8" s="4">
        <v>1823240100</v>
      </c>
      <c r="AZ8" s="4">
        <v>1855354050</v>
      </c>
      <c r="BA8" s="4">
        <v>2163210550</v>
      </c>
      <c r="BB8" s="4">
        <v>2100717800</v>
      </c>
      <c r="BC8" s="4">
        <v>1663976350</v>
      </c>
      <c r="BD8" s="4">
        <v>2030450300</v>
      </c>
      <c r="BE8" s="4">
        <v>1821062100</v>
      </c>
      <c r="BF8" s="4">
        <v>1226332200</v>
      </c>
      <c r="BG8" s="4">
        <v>1530527600</v>
      </c>
      <c r="BH8" s="4">
        <v>1773198150</v>
      </c>
      <c r="BI8" s="4">
        <v>1899270950</v>
      </c>
      <c r="BJ8" s="4">
        <v>1758902300</v>
      </c>
      <c r="BK8" s="4">
        <v>1852465800</v>
      </c>
      <c r="BL8" s="4">
        <v>1866120750</v>
      </c>
      <c r="BM8" s="4">
        <v>2185983800</v>
      </c>
    </row>
    <row r="9" spans="1:65" s="10" customFormat="1" hidden="1" x14ac:dyDescent="0.25">
      <c r="A9" s="8">
        <v>17</v>
      </c>
      <c r="B9" s="1">
        <f>VLOOKUP(E9,'[2]Peajes (1)'!$A:$D,4,0)</f>
        <v>3951</v>
      </c>
      <c r="C9" s="8" t="s">
        <v>26</v>
      </c>
      <c r="D9" s="8" t="s">
        <v>27</v>
      </c>
      <c r="E9" s="8" t="s">
        <v>28</v>
      </c>
      <c r="F9" s="11">
        <f>[1]DVN!C146+[1]DVN!D146</f>
        <v>7952524200</v>
      </c>
      <c r="G9" s="11">
        <f>[1]DVN!E146</f>
        <v>7590463100</v>
      </c>
      <c r="H9" s="11">
        <f>[1]DVN!F146</f>
        <v>8330167150</v>
      </c>
      <c r="I9" s="11">
        <f>[1]DVN!G146</f>
        <v>7900818950</v>
      </c>
      <c r="J9" s="11">
        <f>[1]DVN!H146</f>
        <v>8560416350</v>
      </c>
      <c r="K9" s="11">
        <f>[1]DVN!I146</f>
        <v>7901251600</v>
      </c>
      <c r="L9" s="11">
        <f>[1]DVN!J146</f>
        <v>8213085500</v>
      </c>
      <c r="M9" s="11">
        <f>[1]DVN!K146</f>
        <v>8616967700</v>
      </c>
      <c r="N9" s="11">
        <f>[1]DVN!L146</f>
        <v>8315652000</v>
      </c>
      <c r="O9" s="11">
        <f>[1]DVN!M146</f>
        <v>8833611700</v>
      </c>
      <c r="P9" s="11">
        <f>[1]DVN!N146</f>
        <v>8604355650</v>
      </c>
      <c r="Q9" s="11">
        <f>[1]DVN!O146</f>
        <v>9485373900</v>
      </c>
      <c r="R9" s="11">
        <v>8626914600</v>
      </c>
      <c r="S9" s="11">
        <v>8178627200</v>
      </c>
      <c r="T9" s="11">
        <v>8890285400</v>
      </c>
      <c r="U9" s="11">
        <v>8566835900</v>
      </c>
      <c r="V9" s="11">
        <v>9107857800</v>
      </c>
      <c r="W9" s="11">
        <v>8615388500</v>
      </c>
      <c r="X9" s="11">
        <v>9023156500</v>
      </c>
      <c r="Y9" s="11">
        <v>9314743700</v>
      </c>
      <c r="Z9" s="11">
        <v>8926831500</v>
      </c>
      <c r="AA9" s="11">
        <v>9549252000</v>
      </c>
      <c r="AB9" s="11">
        <v>9129779150</v>
      </c>
      <c r="AC9" s="11">
        <v>10253382900</v>
      </c>
      <c r="AD9" s="11">
        <v>9341236050</v>
      </c>
      <c r="AE9" s="11">
        <v>9225758450</v>
      </c>
      <c r="AF9" s="11">
        <v>9642000100</v>
      </c>
      <c r="AG9" s="11">
        <v>9415170700</v>
      </c>
      <c r="AH9" s="11">
        <v>9716389200</v>
      </c>
      <c r="AI9" s="11">
        <v>9432692900</v>
      </c>
      <c r="AJ9" s="11">
        <v>9328062400</v>
      </c>
      <c r="AK9" s="11">
        <v>10124754700</v>
      </c>
      <c r="AL9" s="11">
        <v>10043278500</v>
      </c>
      <c r="AM9" s="11">
        <v>10282978900</v>
      </c>
      <c r="AN9" s="11">
        <v>10078784000</v>
      </c>
      <c r="AO9" s="11">
        <v>11289089550</v>
      </c>
      <c r="AP9" s="11">
        <v>10282652200</v>
      </c>
      <c r="AQ9" s="11">
        <v>9721834100</v>
      </c>
      <c r="AR9" s="11">
        <v>10595682000</v>
      </c>
      <c r="AS9" s="11">
        <v>10235129800</v>
      </c>
      <c r="AT9" s="11">
        <v>10646481600</v>
      </c>
      <c r="AU9" s="11">
        <v>10594031200</v>
      </c>
      <c r="AV9" s="11">
        <v>10830009500</v>
      </c>
      <c r="AW9" s="11">
        <v>11118015000</v>
      </c>
      <c r="AX9" s="11">
        <v>10668350600</v>
      </c>
      <c r="AY9" s="11">
        <v>11089080700</v>
      </c>
      <c r="AZ9" s="11">
        <v>10814534500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</row>
    <row r="10" spans="1:65" s="10" customFormat="1" hidden="1" x14ac:dyDescent="0.25">
      <c r="A10" s="8">
        <v>112</v>
      </c>
      <c r="B10" s="1">
        <f>VLOOKUP(E10,'[2]Peajes (1)'!$A:$D,4,0)</f>
        <v>3951</v>
      </c>
      <c r="C10" s="8" t="s">
        <v>175</v>
      </c>
      <c r="D10" s="8" t="s">
        <v>176</v>
      </c>
      <c r="E10" s="8" t="s">
        <v>28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11839252300</v>
      </c>
      <c r="BB10" s="11">
        <v>10709340300</v>
      </c>
      <c r="BC10" s="11">
        <v>10219396200</v>
      </c>
      <c r="BD10" s="11">
        <v>11336499100</v>
      </c>
      <c r="BE10" s="11">
        <v>10816977600</v>
      </c>
      <c r="BF10" s="11">
        <v>11472514050</v>
      </c>
      <c r="BG10" s="11">
        <v>11208580800</v>
      </c>
      <c r="BH10" s="11">
        <v>11232762300</v>
      </c>
      <c r="BI10" s="11">
        <v>12102361800</v>
      </c>
      <c r="BJ10" s="11">
        <v>11508458600</v>
      </c>
      <c r="BK10" s="11">
        <v>11774805400</v>
      </c>
      <c r="BL10" s="11">
        <v>11426322300</v>
      </c>
      <c r="BM10" s="11">
        <v>12552733500</v>
      </c>
    </row>
    <row r="11" spans="1:65" s="10" customFormat="1" x14ac:dyDescent="0.25">
      <c r="A11" s="8">
        <v>112</v>
      </c>
      <c r="B11" s="1">
        <f>VLOOKUP(E11,'[2]Peajes (1)'!$A:$D,4,0)</f>
        <v>3951</v>
      </c>
      <c r="C11" s="8" t="s">
        <v>175</v>
      </c>
      <c r="D11" s="8" t="s">
        <v>176</v>
      </c>
      <c r="E11" s="8" t="s">
        <v>28</v>
      </c>
      <c r="F11" s="11">
        <f>SUM(F9:F10)</f>
        <v>7952524200</v>
      </c>
      <c r="G11" s="11">
        <f t="shared" ref="G11:BM11" si="0">SUM(G9:G10)</f>
        <v>7590463100</v>
      </c>
      <c r="H11" s="11">
        <f t="shared" si="0"/>
        <v>8330167150</v>
      </c>
      <c r="I11" s="11">
        <f t="shared" si="0"/>
        <v>7900818950</v>
      </c>
      <c r="J11" s="11">
        <f t="shared" si="0"/>
        <v>8560416350</v>
      </c>
      <c r="K11" s="11">
        <f t="shared" si="0"/>
        <v>7901251600</v>
      </c>
      <c r="L11" s="11">
        <f t="shared" si="0"/>
        <v>8213085500</v>
      </c>
      <c r="M11" s="11">
        <f t="shared" si="0"/>
        <v>8616967700</v>
      </c>
      <c r="N11" s="11">
        <f t="shared" si="0"/>
        <v>8315652000</v>
      </c>
      <c r="O11" s="11">
        <f t="shared" si="0"/>
        <v>8833611700</v>
      </c>
      <c r="P11" s="11">
        <f t="shared" si="0"/>
        <v>8604355650</v>
      </c>
      <c r="Q11" s="11">
        <f t="shared" si="0"/>
        <v>9485373900</v>
      </c>
      <c r="R11" s="11">
        <f t="shared" si="0"/>
        <v>8626914600</v>
      </c>
      <c r="S11" s="11">
        <f t="shared" si="0"/>
        <v>8178627200</v>
      </c>
      <c r="T11" s="11">
        <f t="shared" si="0"/>
        <v>8890285400</v>
      </c>
      <c r="U11" s="11">
        <f t="shared" si="0"/>
        <v>8566835900</v>
      </c>
      <c r="V11" s="11">
        <f t="shared" si="0"/>
        <v>9107857800</v>
      </c>
      <c r="W11" s="11">
        <f t="shared" si="0"/>
        <v>8615388500</v>
      </c>
      <c r="X11" s="11">
        <f t="shared" si="0"/>
        <v>9023156500</v>
      </c>
      <c r="Y11" s="11">
        <f t="shared" si="0"/>
        <v>9314743700</v>
      </c>
      <c r="Z11" s="11">
        <f t="shared" si="0"/>
        <v>8926831500</v>
      </c>
      <c r="AA11" s="11">
        <f t="shared" si="0"/>
        <v>9549252000</v>
      </c>
      <c r="AB11" s="11">
        <f t="shared" si="0"/>
        <v>9129779150</v>
      </c>
      <c r="AC11" s="11">
        <f t="shared" si="0"/>
        <v>10253382900</v>
      </c>
      <c r="AD11" s="11">
        <f t="shared" si="0"/>
        <v>9341236050</v>
      </c>
      <c r="AE11" s="11">
        <f t="shared" si="0"/>
        <v>9225758450</v>
      </c>
      <c r="AF11" s="11">
        <f t="shared" si="0"/>
        <v>9642000100</v>
      </c>
      <c r="AG11" s="11">
        <f t="shared" si="0"/>
        <v>9415170700</v>
      </c>
      <c r="AH11" s="11">
        <f t="shared" si="0"/>
        <v>9716389200</v>
      </c>
      <c r="AI11" s="11">
        <f t="shared" si="0"/>
        <v>9432692900</v>
      </c>
      <c r="AJ11" s="11">
        <f t="shared" si="0"/>
        <v>9328062400</v>
      </c>
      <c r="AK11" s="11">
        <f t="shared" si="0"/>
        <v>10124754700</v>
      </c>
      <c r="AL11" s="11">
        <f t="shared" si="0"/>
        <v>10043278500</v>
      </c>
      <c r="AM11" s="11">
        <f t="shared" si="0"/>
        <v>10282978900</v>
      </c>
      <c r="AN11" s="11">
        <f t="shared" si="0"/>
        <v>10078784000</v>
      </c>
      <c r="AO11" s="11">
        <f t="shared" si="0"/>
        <v>11289089550</v>
      </c>
      <c r="AP11" s="11">
        <f t="shared" si="0"/>
        <v>10282652200</v>
      </c>
      <c r="AQ11" s="11">
        <f t="shared" si="0"/>
        <v>9721834100</v>
      </c>
      <c r="AR11" s="11">
        <f t="shared" si="0"/>
        <v>10595682000</v>
      </c>
      <c r="AS11" s="11">
        <f t="shared" si="0"/>
        <v>10235129800</v>
      </c>
      <c r="AT11" s="11">
        <f t="shared" si="0"/>
        <v>10646481600</v>
      </c>
      <c r="AU11" s="11">
        <f t="shared" si="0"/>
        <v>10594031200</v>
      </c>
      <c r="AV11" s="11">
        <f t="shared" si="0"/>
        <v>10830009500</v>
      </c>
      <c r="AW11" s="11">
        <f t="shared" si="0"/>
        <v>11118015000</v>
      </c>
      <c r="AX11" s="11">
        <f t="shared" si="0"/>
        <v>10668350600</v>
      </c>
      <c r="AY11" s="11">
        <f t="shared" si="0"/>
        <v>11089080700</v>
      </c>
      <c r="AZ11" s="11">
        <f t="shared" si="0"/>
        <v>10814534500</v>
      </c>
      <c r="BA11" s="11">
        <f t="shared" si="0"/>
        <v>11839252300</v>
      </c>
      <c r="BB11" s="11">
        <f t="shared" si="0"/>
        <v>10709340300</v>
      </c>
      <c r="BC11" s="11">
        <f t="shared" si="0"/>
        <v>10219396200</v>
      </c>
      <c r="BD11" s="11">
        <f t="shared" si="0"/>
        <v>11336499100</v>
      </c>
      <c r="BE11" s="11">
        <f t="shared" si="0"/>
        <v>10816977600</v>
      </c>
      <c r="BF11" s="11">
        <f t="shared" si="0"/>
        <v>11472514050</v>
      </c>
      <c r="BG11" s="11">
        <f t="shared" si="0"/>
        <v>11208580800</v>
      </c>
      <c r="BH11" s="11">
        <f t="shared" si="0"/>
        <v>11232762300</v>
      </c>
      <c r="BI11" s="11">
        <f t="shared" si="0"/>
        <v>12102361800</v>
      </c>
      <c r="BJ11" s="11">
        <f t="shared" si="0"/>
        <v>11508458600</v>
      </c>
      <c r="BK11" s="11">
        <f t="shared" si="0"/>
        <v>11774805400</v>
      </c>
      <c r="BL11" s="11">
        <f t="shared" si="0"/>
        <v>11426322300</v>
      </c>
      <c r="BM11" s="11">
        <f t="shared" si="0"/>
        <v>12552733500</v>
      </c>
    </row>
    <row r="12" spans="1:65" x14ac:dyDescent="0.25">
      <c r="A12" s="1">
        <v>70</v>
      </c>
      <c r="B12" s="1">
        <f>VLOOKUP(E12,'[2]Peajes (1)'!$A:$D,4,0)</f>
        <v>3803</v>
      </c>
      <c r="C12" s="3" t="s">
        <v>100</v>
      </c>
      <c r="D12" s="3" t="s">
        <v>101</v>
      </c>
      <c r="E12" s="3" t="s">
        <v>102</v>
      </c>
      <c r="F12" s="4">
        <v>1174686600</v>
      </c>
      <c r="G12" s="4">
        <v>1137150300</v>
      </c>
      <c r="H12" s="4">
        <v>1300411700</v>
      </c>
      <c r="I12" s="4">
        <v>1240822050</v>
      </c>
      <c r="J12" s="4">
        <v>1228851300</v>
      </c>
      <c r="K12" s="4">
        <v>1184014500</v>
      </c>
      <c r="L12" s="4">
        <v>1279117500</v>
      </c>
      <c r="M12" s="4">
        <v>1235306900</v>
      </c>
      <c r="N12" s="4">
        <v>1200563000</v>
      </c>
      <c r="O12" s="4">
        <v>1218377300</v>
      </c>
      <c r="P12" s="4">
        <v>1110101800</v>
      </c>
      <c r="Q12" s="4">
        <v>1251137300</v>
      </c>
      <c r="R12" s="4">
        <v>1249659300</v>
      </c>
      <c r="S12" s="4">
        <v>1172152600</v>
      </c>
      <c r="T12" s="4">
        <v>1304123700</v>
      </c>
      <c r="U12" s="4">
        <v>1251089100</v>
      </c>
      <c r="V12" s="4">
        <v>1245840700</v>
      </c>
      <c r="W12" s="4">
        <v>1249526500</v>
      </c>
      <c r="X12" s="4">
        <v>1324249100</v>
      </c>
      <c r="Y12" s="4">
        <v>1288509700</v>
      </c>
      <c r="Z12" s="4">
        <v>1277725650</v>
      </c>
      <c r="AA12" s="4">
        <v>1439170800</v>
      </c>
      <c r="AB12" s="4">
        <v>1346416200</v>
      </c>
      <c r="AC12" s="4">
        <v>1434160900</v>
      </c>
      <c r="AD12" s="4">
        <v>1343467100</v>
      </c>
      <c r="AE12" s="4">
        <v>1305052500</v>
      </c>
      <c r="AF12" s="4">
        <v>1438935400</v>
      </c>
      <c r="AG12" s="4">
        <v>1371641100</v>
      </c>
      <c r="AH12" s="4">
        <v>1301597700</v>
      </c>
      <c r="AI12" s="4">
        <v>1333453700</v>
      </c>
      <c r="AJ12" s="4">
        <v>1315090700</v>
      </c>
      <c r="AK12" s="4">
        <v>1415666800</v>
      </c>
      <c r="AL12" s="4">
        <v>1390403100</v>
      </c>
      <c r="AM12" s="4">
        <v>1395447200</v>
      </c>
      <c r="AN12" s="4">
        <v>1376007000</v>
      </c>
      <c r="AO12" s="4">
        <v>1520075300</v>
      </c>
      <c r="AP12" s="4">
        <v>1455825650</v>
      </c>
      <c r="AQ12" s="4">
        <v>1424140100</v>
      </c>
      <c r="AR12" s="4">
        <v>1526996900</v>
      </c>
      <c r="AS12" s="4">
        <v>1435524900</v>
      </c>
      <c r="AT12" s="4">
        <v>1460024100</v>
      </c>
      <c r="AU12" s="4">
        <v>1461319200</v>
      </c>
      <c r="AV12" s="4">
        <v>1467725400</v>
      </c>
      <c r="AW12" s="4">
        <v>1553339500</v>
      </c>
      <c r="AX12" s="4">
        <v>1423128800</v>
      </c>
      <c r="AY12" s="4">
        <v>1440317800</v>
      </c>
      <c r="AZ12" s="4">
        <v>1388133400</v>
      </c>
      <c r="BA12" s="4">
        <v>1449530550</v>
      </c>
      <c r="BB12" s="4">
        <v>1417575100</v>
      </c>
      <c r="BC12" s="4">
        <v>1369770800</v>
      </c>
      <c r="BD12" s="4">
        <v>1488487700</v>
      </c>
      <c r="BE12" s="4">
        <v>1506797400</v>
      </c>
      <c r="BF12" s="4">
        <v>1461157200</v>
      </c>
      <c r="BG12" s="4">
        <v>1398270100</v>
      </c>
      <c r="BH12" s="4">
        <v>1440023300</v>
      </c>
      <c r="BI12" s="4">
        <v>1440085400</v>
      </c>
      <c r="BJ12" s="4">
        <v>1380306600</v>
      </c>
      <c r="BK12" s="4">
        <v>1484881100</v>
      </c>
      <c r="BL12" s="4">
        <v>1416189100</v>
      </c>
      <c r="BM12" s="4">
        <v>1545802200</v>
      </c>
    </row>
    <row r="13" spans="1:65" x14ac:dyDescent="0.25">
      <c r="A13" s="1"/>
      <c r="B13" s="1">
        <f>VLOOKUP(E13,'[2]Peajes (1)'!$A:$D,4,0)</f>
        <v>3910</v>
      </c>
      <c r="C13" s="3" t="s">
        <v>17</v>
      </c>
      <c r="D13" s="3" t="s">
        <v>18</v>
      </c>
      <c r="E13" s="3" t="s">
        <v>253</v>
      </c>
      <c r="F13" s="4">
        <v>6463583300</v>
      </c>
      <c r="G13" s="4">
        <v>5157956500</v>
      </c>
      <c r="H13" s="4">
        <v>6237259800</v>
      </c>
      <c r="I13" s="4">
        <v>6629397000</v>
      </c>
      <c r="J13" s="4">
        <v>6473889100</v>
      </c>
      <c r="K13" s="4">
        <v>6310180000</v>
      </c>
      <c r="L13" s="4">
        <v>6513972000</v>
      </c>
      <c r="M13" s="4">
        <v>6545434100</v>
      </c>
      <c r="N13" s="4">
        <v>5994938300</v>
      </c>
      <c r="O13" s="4">
        <v>6388253500</v>
      </c>
      <c r="P13" s="4">
        <v>6087661000</v>
      </c>
      <c r="Q13" s="4">
        <v>6974933500</v>
      </c>
      <c r="R13" s="4">
        <v>6609832700</v>
      </c>
      <c r="S13" s="4">
        <v>5357695400</v>
      </c>
      <c r="T13" s="4">
        <v>5946029700</v>
      </c>
      <c r="U13" s="4">
        <v>5989561100</v>
      </c>
      <c r="V13" s="4">
        <v>6132065700</v>
      </c>
      <c r="W13" s="4">
        <v>6581906900</v>
      </c>
      <c r="X13" s="4">
        <v>7470484900</v>
      </c>
      <c r="Y13" s="4">
        <v>7247314400</v>
      </c>
      <c r="Z13" s="4">
        <v>6915568000</v>
      </c>
      <c r="AA13" s="4">
        <v>7327158100</v>
      </c>
      <c r="AB13" s="4">
        <v>7006261100</v>
      </c>
      <c r="AC13" s="4">
        <v>7988299600</v>
      </c>
      <c r="AD13" s="4">
        <v>7536085700</v>
      </c>
      <c r="AE13" s="4">
        <v>6216209400</v>
      </c>
      <c r="AF13" s="4">
        <v>6709165400</v>
      </c>
      <c r="AG13" s="4">
        <v>5917139500</v>
      </c>
      <c r="AH13" s="4">
        <v>5962423900</v>
      </c>
      <c r="AI13" s="4">
        <v>5861111200</v>
      </c>
      <c r="AJ13" s="4">
        <v>5645120200</v>
      </c>
      <c r="AK13" s="4">
        <v>6164949900</v>
      </c>
      <c r="AL13" s="4">
        <v>5969096000</v>
      </c>
      <c r="AM13" s="4">
        <v>6318608100</v>
      </c>
      <c r="AN13" s="4">
        <v>6216527300</v>
      </c>
      <c r="AO13" s="4">
        <v>7219417200</v>
      </c>
      <c r="AP13" s="4">
        <v>7119527900</v>
      </c>
      <c r="AQ13" s="4">
        <v>5620809000</v>
      </c>
      <c r="AR13" s="4">
        <v>6497753800</v>
      </c>
      <c r="AS13" s="4">
        <v>6554078200</v>
      </c>
      <c r="AT13" s="4">
        <v>6214560300</v>
      </c>
      <c r="AU13" s="4">
        <v>6184240300</v>
      </c>
      <c r="AV13" s="4">
        <v>6309341000</v>
      </c>
      <c r="AW13" s="4">
        <v>6640227100</v>
      </c>
      <c r="AX13" s="4">
        <v>6222837900</v>
      </c>
      <c r="AY13" s="4">
        <v>6723283900</v>
      </c>
      <c r="AZ13" s="4">
        <v>6532960600</v>
      </c>
      <c r="BA13" s="4">
        <v>7678605300</v>
      </c>
      <c r="BB13" s="4">
        <v>7475774400</v>
      </c>
      <c r="BC13" s="4">
        <v>5452340300</v>
      </c>
      <c r="BD13" s="4">
        <v>6745789600</v>
      </c>
      <c r="BE13" s="4">
        <v>6251286600</v>
      </c>
      <c r="BF13" s="4">
        <v>6112056100</v>
      </c>
      <c r="BG13" s="4">
        <v>6316902900</v>
      </c>
      <c r="BH13" s="4">
        <v>6413535200</v>
      </c>
      <c r="BI13" s="4">
        <v>5678996200</v>
      </c>
      <c r="BJ13" s="4">
        <v>5820622000</v>
      </c>
      <c r="BK13" s="4">
        <v>6887029700</v>
      </c>
      <c r="BL13" s="4">
        <v>6858445000</v>
      </c>
      <c r="BM13" s="4">
        <v>7799783800</v>
      </c>
    </row>
    <row r="14" spans="1:65" x14ac:dyDescent="0.25">
      <c r="A14" s="1">
        <v>109</v>
      </c>
      <c r="B14" s="1">
        <f>VLOOKUP(E14,'[2]Peajes (1)'!$A:$D,4,0)</f>
        <v>8405</v>
      </c>
      <c r="C14" s="3" t="s">
        <v>170</v>
      </c>
      <c r="D14" s="3" t="s">
        <v>171</v>
      </c>
      <c r="E14" s="3" t="s">
        <v>172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</row>
    <row r="15" spans="1:65" x14ac:dyDescent="0.25">
      <c r="A15" s="1">
        <v>115</v>
      </c>
      <c r="B15" s="1">
        <f>VLOOKUP(E15,'[2]Peajes (1)'!$A:$D,4,0)</f>
        <v>3934</v>
      </c>
      <c r="C15" s="3" t="s">
        <v>177</v>
      </c>
      <c r="D15" s="3" t="s">
        <v>178</v>
      </c>
      <c r="E15" s="3" t="s">
        <v>179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33560000</v>
      </c>
      <c r="AK15" s="4">
        <v>478567050</v>
      </c>
      <c r="AL15" s="4">
        <v>386701650</v>
      </c>
      <c r="AM15" s="4">
        <v>444648000</v>
      </c>
      <c r="AN15" s="4">
        <v>428806300</v>
      </c>
      <c r="AO15" s="4">
        <v>606821500</v>
      </c>
      <c r="AP15" s="4">
        <v>937571050</v>
      </c>
      <c r="AQ15" s="4">
        <v>414384500</v>
      </c>
      <c r="AR15" s="4">
        <v>468436200</v>
      </c>
      <c r="AS15" s="4">
        <v>756210850</v>
      </c>
      <c r="AT15" s="4">
        <v>421217150</v>
      </c>
      <c r="AU15" s="4">
        <v>529709700</v>
      </c>
      <c r="AV15" s="4">
        <v>520768250</v>
      </c>
      <c r="AW15" s="4">
        <v>487806950</v>
      </c>
      <c r="AX15" s="4">
        <v>398811200</v>
      </c>
      <c r="AY15" s="4">
        <v>481222900</v>
      </c>
      <c r="AZ15" s="4">
        <v>482553050</v>
      </c>
      <c r="BA15" s="4">
        <v>646904700</v>
      </c>
      <c r="BB15" s="4">
        <v>969965800</v>
      </c>
      <c r="BC15" s="4">
        <v>421846000</v>
      </c>
      <c r="BD15" s="4">
        <v>662328800</v>
      </c>
      <c r="BE15" s="4">
        <v>454937000</v>
      </c>
      <c r="BF15" s="4">
        <v>468829750</v>
      </c>
      <c r="BG15" s="4">
        <v>690332300</v>
      </c>
      <c r="BH15" s="4">
        <v>573007500</v>
      </c>
      <c r="BI15" s="4">
        <v>479618200</v>
      </c>
      <c r="BJ15" s="4">
        <v>412832900</v>
      </c>
      <c r="BK15" s="4">
        <v>492889400</v>
      </c>
      <c r="BL15" s="4">
        <v>458752900</v>
      </c>
      <c r="BM15" s="4">
        <v>639533800</v>
      </c>
    </row>
    <row r="16" spans="1:65" x14ac:dyDescent="0.25">
      <c r="A16" s="1">
        <v>8</v>
      </c>
      <c r="B16" s="1">
        <f>VLOOKUP(E16,'[2]Peajes (1)'!$A:$D,4,0)</f>
        <v>3868</v>
      </c>
      <c r="C16" s="3" t="s">
        <v>13</v>
      </c>
      <c r="D16" s="3" t="s">
        <v>14</v>
      </c>
      <c r="E16" s="3" t="s">
        <v>237</v>
      </c>
      <c r="F16" s="4">
        <v>2053132700</v>
      </c>
      <c r="G16" s="4">
        <v>1242344700</v>
      </c>
      <c r="H16" s="4">
        <v>1522138300</v>
      </c>
      <c r="I16" s="4">
        <v>1739064700</v>
      </c>
      <c r="J16" s="4">
        <v>1361896100</v>
      </c>
      <c r="K16" s="4">
        <v>1673896100</v>
      </c>
      <c r="L16" s="4">
        <v>1619319100</v>
      </c>
      <c r="M16" s="4">
        <v>1679790900</v>
      </c>
      <c r="N16" s="4">
        <v>1439156200</v>
      </c>
      <c r="O16" s="4">
        <v>1712323400</v>
      </c>
      <c r="P16" s="4">
        <v>1450899800</v>
      </c>
      <c r="Q16" s="4">
        <v>2152121300</v>
      </c>
      <c r="R16" s="4">
        <v>2269998200</v>
      </c>
      <c r="S16" s="4">
        <v>1440660500</v>
      </c>
      <c r="T16" s="4">
        <v>1731091200</v>
      </c>
      <c r="U16" s="4">
        <v>1798547100</v>
      </c>
      <c r="V16" s="4">
        <v>1819820400</v>
      </c>
      <c r="W16" s="4">
        <v>2026713000</v>
      </c>
      <c r="X16" s="4">
        <v>1967161200</v>
      </c>
      <c r="Y16" s="4">
        <v>2040721700</v>
      </c>
      <c r="Z16" s="4">
        <v>1716936800</v>
      </c>
      <c r="AA16" s="4">
        <v>2069488300</v>
      </c>
      <c r="AB16" s="4">
        <v>1928301000</v>
      </c>
      <c r="AC16" s="4">
        <v>2570848200</v>
      </c>
      <c r="AD16" s="4">
        <v>2697993900</v>
      </c>
      <c r="AE16" s="4">
        <v>1713553500</v>
      </c>
      <c r="AF16" s="4">
        <v>2249529000</v>
      </c>
      <c r="AG16" s="4">
        <v>1722131000</v>
      </c>
      <c r="AH16" s="4">
        <v>1953870100</v>
      </c>
      <c r="AI16" s="4">
        <v>2049783000</v>
      </c>
      <c r="AJ16" s="4">
        <v>2340131400</v>
      </c>
      <c r="AK16" s="4">
        <v>2119321100</v>
      </c>
      <c r="AL16" s="4">
        <v>1844934500</v>
      </c>
      <c r="AM16" s="4">
        <v>2186347300</v>
      </c>
      <c r="AN16" s="4">
        <v>2139540600</v>
      </c>
      <c r="AO16" s="4">
        <v>2677938000</v>
      </c>
      <c r="AP16" s="4">
        <v>2951261200</v>
      </c>
      <c r="AQ16" s="4">
        <v>1827939600</v>
      </c>
      <c r="AR16" s="4">
        <v>2047183500</v>
      </c>
      <c r="AS16" s="4">
        <v>2367093600</v>
      </c>
      <c r="AT16" s="4">
        <v>2037190500</v>
      </c>
      <c r="AU16" s="4">
        <v>2334040000</v>
      </c>
      <c r="AV16" s="4">
        <v>2406472700</v>
      </c>
      <c r="AW16" s="4">
        <v>2366753300</v>
      </c>
      <c r="AX16" s="4">
        <v>2007601800</v>
      </c>
      <c r="AY16" s="4">
        <v>2413424000</v>
      </c>
      <c r="AZ16" s="4">
        <v>2327374300</v>
      </c>
      <c r="BA16" s="4">
        <v>3043060300</v>
      </c>
      <c r="BB16" s="4">
        <v>3191132000</v>
      </c>
      <c r="BC16" s="4">
        <v>1969910900</v>
      </c>
      <c r="BD16" s="4">
        <v>2560241500</v>
      </c>
      <c r="BE16" s="4">
        <v>2190464000</v>
      </c>
      <c r="BF16" s="4">
        <v>2213739900</v>
      </c>
      <c r="BG16" s="4">
        <v>2504217500</v>
      </c>
      <c r="BH16" s="4">
        <v>2677518700</v>
      </c>
      <c r="BI16" s="4">
        <v>2513286500</v>
      </c>
      <c r="BJ16" s="4">
        <v>2199666500</v>
      </c>
      <c r="BK16" s="4">
        <v>2502540000</v>
      </c>
      <c r="BL16" s="4">
        <v>2485043300</v>
      </c>
      <c r="BM16" s="4">
        <v>3194011000</v>
      </c>
    </row>
    <row r="17" spans="1:65" x14ac:dyDescent="0.25">
      <c r="A17" s="1">
        <v>143</v>
      </c>
      <c r="B17" s="1">
        <f>VLOOKUP(E17,'[2]Peajes (1)'!$A:$D,4,0)</f>
        <v>3950</v>
      </c>
      <c r="C17" s="3" t="s">
        <v>212</v>
      </c>
      <c r="D17" s="3" t="s">
        <v>213</v>
      </c>
      <c r="E17" s="3" t="s">
        <v>214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345794200</v>
      </c>
      <c r="Z17" s="4">
        <v>763210300</v>
      </c>
      <c r="AA17" s="4">
        <v>824444000</v>
      </c>
      <c r="AB17" s="4">
        <v>791558514</v>
      </c>
      <c r="AC17" s="4">
        <v>936497900</v>
      </c>
      <c r="AD17" s="4">
        <v>979470300</v>
      </c>
      <c r="AE17" s="4">
        <v>825006500</v>
      </c>
      <c r="AF17" s="4">
        <v>939530418</v>
      </c>
      <c r="AG17" s="4">
        <v>809638400</v>
      </c>
      <c r="AH17" s="4">
        <v>862592400</v>
      </c>
      <c r="AI17" s="4">
        <v>805806300</v>
      </c>
      <c r="AJ17" s="4">
        <v>809058800</v>
      </c>
      <c r="AK17" s="4">
        <v>880365400</v>
      </c>
      <c r="AL17" s="4">
        <v>805815300</v>
      </c>
      <c r="AM17" s="4">
        <v>842909200</v>
      </c>
      <c r="AN17" s="4">
        <v>804739900</v>
      </c>
      <c r="AO17" s="4">
        <v>948664900</v>
      </c>
      <c r="AP17" s="4">
        <v>954605400</v>
      </c>
      <c r="AQ17" s="4">
        <v>784911000</v>
      </c>
      <c r="AR17" s="4">
        <v>841038400</v>
      </c>
      <c r="AS17" s="4">
        <v>878259100</v>
      </c>
      <c r="AT17" s="4">
        <v>849799500</v>
      </c>
      <c r="AU17" s="4">
        <v>880647900</v>
      </c>
      <c r="AV17" s="4">
        <v>887510600</v>
      </c>
      <c r="AW17" s="4">
        <v>866617500</v>
      </c>
      <c r="AX17" s="4">
        <v>797741100</v>
      </c>
      <c r="AY17" s="4">
        <v>859584400</v>
      </c>
      <c r="AZ17" s="4">
        <v>868783700</v>
      </c>
      <c r="BA17" s="4">
        <v>985053600</v>
      </c>
      <c r="BB17" s="4">
        <v>954357300</v>
      </c>
      <c r="BC17" s="4">
        <v>766516200</v>
      </c>
      <c r="BD17" s="4">
        <v>895204700</v>
      </c>
      <c r="BE17" s="4">
        <v>850614700</v>
      </c>
      <c r="BF17" s="4">
        <v>772319000</v>
      </c>
      <c r="BG17" s="4">
        <v>722425000</v>
      </c>
      <c r="BH17" s="4">
        <v>839070800</v>
      </c>
      <c r="BI17" s="4">
        <v>838028900</v>
      </c>
      <c r="BJ17" s="4">
        <v>790865300</v>
      </c>
      <c r="BK17" s="4">
        <v>848822300</v>
      </c>
      <c r="BL17" s="4">
        <v>846989500</v>
      </c>
      <c r="BM17" s="4">
        <v>980666600</v>
      </c>
    </row>
    <row r="18" spans="1:65" x14ac:dyDescent="0.25">
      <c r="A18" s="1">
        <v>110</v>
      </c>
      <c r="B18" s="1">
        <f>VLOOKUP(E18,'[2]Peajes (1)'!$A:$D,4,0)</f>
        <v>3987</v>
      </c>
      <c r="C18" s="3" t="s">
        <v>170</v>
      </c>
      <c r="D18" s="3" t="s">
        <v>171</v>
      </c>
      <c r="E18" s="3" t="s">
        <v>173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51198850</v>
      </c>
      <c r="BC18" s="4">
        <v>132886000</v>
      </c>
      <c r="BD18" s="4">
        <v>130708750</v>
      </c>
      <c r="BE18" s="4">
        <v>110166000</v>
      </c>
      <c r="BF18" s="4">
        <v>104668900</v>
      </c>
      <c r="BG18" s="4">
        <v>131308200</v>
      </c>
      <c r="BH18" s="4">
        <v>166971100</v>
      </c>
      <c r="BI18" s="4">
        <v>228001650</v>
      </c>
      <c r="BJ18" s="4">
        <v>233251300</v>
      </c>
      <c r="BK18" s="4">
        <v>296104900</v>
      </c>
      <c r="BL18" s="4">
        <v>312980900</v>
      </c>
      <c r="BM18" s="4">
        <v>411973900</v>
      </c>
    </row>
    <row r="19" spans="1:65" x14ac:dyDescent="0.25">
      <c r="A19" s="1">
        <v>67</v>
      </c>
      <c r="B19" s="1">
        <f>VLOOKUP(E19,'[2]Peajes (1)'!$A:$D,4,0)</f>
        <v>3862</v>
      </c>
      <c r="C19" s="3" t="s">
        <v>95</v>
      </c>
      <c r="D19" s="3" t="s">
        <v>96</v>
      </c>
      <c r="E19" s="3" t="s">
        <v>97</v>
      </c>
      <c r="F19" s="4">
        <v>261909400</v>
      </c>
      <c r="G19" s="4">
        <v>170115400</v>
      </c>
      <c r="H19" s="4">
        <v>184624200</v>
      </c>
      <c r="I19" s="4">
        <v>213615600</v>
      </c>
      <c r="J19" s="4">
        <v>174884600</v>
      </c>
      <c r="K19" s="4">
        <v>196383200</v>
      </c>
      <c r="L19" s="4">
        <v>224593200</v>
      </c>
      <c r="M19" s="4">
        <v>213240600</v>
      </c>
      <c r="N19" s="4">
        <v>183138100</v>
      </c>
      <c r="O19" s="4">
        <v>206502600</v>
      </c>
      <c r="P19" s="4">
        <v>195264900</v>
      </c>
      <c r="Q19" s="4">
        <v>254078200</v>
      </c>
      <c r="R19" s="4">
        <v>324493400</v>
      </c>
      <c r="S19" s="4">
        <v>205117500</v>
      </c>
      <c r="T19" s="4">
        <v>227580500</v>
      </c>
      <c r="U19" s="4">
        <v>251766200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</row>
    <row r="20" spans="1:65" x14ac:dyDescent="0.25">
      <c r="A20" s="1">
        <v>152</v>
      </c>
      <c r="B20" s="1">
        <f>VLOOKUP(E20,'[2]Peajes (1)'!$A:$D,4,0)</f>
        <v>3990</v>
      </c>
      <c r="C20" s="3" t="s">
        <v>228</v>
      </c>
      <c r="D20" s="3" t="s">
        <v>229</v>
      </c>
      <c r="E20" s="3" t="s">
        <v>230</v>
      </c>
      <c r="F20" s="4">
        <v>2277047850</v>
      </c>
      <c r="G20" s="4">
        <v>1807875050</v>
      </c>
      <c r="H20" s="4">
        <v>2012074300</v>
      </c>
      <c r="I20" s="4">
        <v>2131601000</v>
      </c>
      <c r="J20" s="4">
        <v>2583543100</v>
      </c>
      <c r="K20" s="4">
        <v>2318346150</v>
      </c>
      <c r="L20" s="4">
        <v>2196842350</v>
      </c>
      <c r="M20" s="4">
        <v>2254408850</v>
      </c>
      <c r="N20" s="4">
        <v>2074633950</v>
      </c>
      <c r="O20" s="4">
        <v>2333024740</v>
      </c>
      <c r="P20" s="4">
        <v>2369460200</v>
      </c>
      <c r="Q20" s="4">
        <v>2522091450</v>
      </c>
      <c r="R20" s="4">
        <v>2583340700</v>
      </c>
      <c r="S20" s="4">
        <v>2072477350</v>
      </c>
      <c r="T20" s="4">
        <v>2217883102</v>
      </c>
      <c r="U20" s="4">
        <v>2423069200</v>
      </c>
      <c r="V20" s="4">
        <v>2348724850</v>
      </c>
      <c r="W20" s="4">
        <v>2472064550</v>
      </c>
      <c r="X20" s="4">
        <v>2448399550</v>
      </c>
      <c r="Y20" s="4">
        <v>2463245500</v>
      </c>
      <c r="Z20" s="4">
        <v>2203142450</v>
      </c>
      <c r="AA20" s="4">
        <v>2556414450</v>
      </c>
      <c r="AB20" s="4">
        <v>2458103800</v>
      </c>
      <c r="AC20" s="4">
        <v>2793112800</v>
      </c>
      <c r="AD20" s="4">
        <v>2850557050</v>
      </c>
      <c r="AE20" s="4">
        <v>2345029700</v>
      </c>
      <c r="AF20" s="4">
        <v>2771447596</v>
      </c>
      <c r="AG20" s="4">
        <v>2395518100</v>
      </c>
      <c r="AH20" s="4">
        <v>2573424950</v>
      </c>
      <c r="AI20" s="4">
        <v>2481652800</v>
      </c>
      <c r="AJ20" s="4">
        <v>2382247150</v>
      </c>
      <c r="AK20" s="4">
        <v>2725316650</v>
      </c>
      <c r="AL20" s="4">
        <v>2472472550</v>
      </c>
      <c r="AM20" s="4">
        <v>2742840500</v>
      </c>
      <c r="AN20" s="4">
        <v>2644092000</v>
      </c>
      <c r="AO20" s="4">
        <v>2908149100</v>
      </c>
      <c r="AP20" s="4">
        <v>3035932200</v>
      </c>
      <c r="AQ20" s="4">
        <v>2381931950</v>
      </c>
      <c r="AR20" s="4">
        <v>2591569900</v>
      </c>
      <c r="AS20" s="4">
        <v>2807097950</v>
      </c>
      <c r="AT20" s="4">
        <v>2523709450</v>
      </c>
      <c r="AU20" s="4">
        <v>2659363800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</row>
    <row r="21" spans="1:65" x14ac:dyDescent="0.25">
      <c r="A21" s="1">
        <v>129</v>
      </c>
      <c r="B21" s="1">
        <f>VLOOKUP(E21,'[2]Peajes (1)'!$A:$D,4,0)</f>
        <v>3876</v>
      </c>
      <c r="C21" s="3" t="s">
        <v>195</v>
      </c>
      <c r="D21" s="3" t="s">
        <v>196</v>
      </c>
      <c r="E21" s="3" t="s">
        <v>197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>
        <v>0</v>
      </c>
      <c r="AE21" s="4">
        <v>0</v>
      </c>
      <c r="AF21" s="4">
        <v>0</v>
      </c>
      <c r="AG21" s="4">
        <v>202605300</v>
      </c>
      <c r="AH21" s="4">
        <v>404731400</v>
      </c>
      <c r="AI21" s="4">
        <v>433853400</v>
      </c>
      <c r="AJ21" s="4">
        <v>336896800</v>
      </c>
      <c r="AK21" s="4">
        <v>940296200</v>
      </c>
      <c r="AL21" s="4">
        <v>1167672500</v>
      </c>
      <c r="AM21" s="4">
        <v>1170002500</v>
      </c>
      <c r="AN21" s="4">
        <v>1045870050</v>
      </c>
      <c r="AO21" s="4">
        <v>1117899700</v>
      </c>
      <c r="AP21" s="4">
        <v>1185780800</v>
      </c>
      <c r="AQ21" s="4">
        <v>784274200</v>
      </c>
      <c r="AR21" s="4">
        <v>441250400</v>
      </c>
      <c r="AS21" s="4">
        <v>393963800</v>
      </c>
      <c r="AT21" s="4">
        <v>402779400</v>
      </c>
      <c r="AU21" s="4">
        <v>368435600</v>
      </c>
      <c r="AV21" s="4">
        <v>398682200</v>
      </c>
      <c r="AW21" s="4">
        <v>419903600</v>
      </c>
      <c r="AX21" s="4">
        <v>391961400</v>
      </c>
      <c r="AY21" s="4">
        <v>405177700</v>
      </c>
      <c r="AZ21" s="4">
        <v>430610600</v>
      </c>
      <c r="BA21" s="4">
        <v>446543800</v>
      </c>
      <c r="BB21" s="4">
        <v>420455150</v>
      </c>
      <c r="BC21" s="4">
        <v>371000200</v>
      </c>
      <c r="BD21" s="4">
        <v>431182700</v>
      </c>
      <c r="BE21" s="4">
        <v>444081550</v>
      </c>
      <c r="BF21" s="4">
        <v>447099000</v>
      </c>
      <c r="BG21" s="4">
        <v>413407900</v>
      </c>
      <c r="BH21" s="4">
        <v>430169400</v>
      </c>
      <c r="BI21" s="4">
        <v>453684400</v>
      </c>
      <c r="BJ21" s="4">
        <v>405825100</v>
      </c>
      <c r="BK21" s="4">
        <v>495764950</v>
      </c>
      <c r="BL21" s="4">
        <v>494329000</v>
      </c>
      <c r="BM21" s="4">
        <v>484773400</v>
      </c>
    </row>
    <row r="22" spans="1:65" s="10" customFormat="1" hidden="1" x14ac:dyDescent="0.25">
      <c r="A22" s="8">
        <v>91</v>
      </c>
      <c r="B22" s="1" t="e">
        <f>VLOOKUP(E22,'[2]Peajes (1)'!$A:$D,4,0)</f>
        <v>#N/A</v>
      </c>
      <c r="C22" s="8" t="s">
        <v>129</v>
      </c>
      <c r="D22" s="8" t="s">
        <v>130</v>
      </c>
      <c r="E22" s="8" t="s">
        <v>131</v>
      </c>
      <c r="F22" s="11">
        <v>437256400</v>
      </c>
      <c r="G22" s="11">
        <v>368627100</v>
      </c>
      <c r="H22" s="11">
        <v>410520300</v>
      </c>
      <c r="I22" s="11">
        <v>413934200</v>
      </c>
      <c r="J22" s="11">
        <v>415392700</v>
      </c>
      <c r="K22" s="11">
        <v>421126200</v>
      </c>
      <c r="L22" s="11">
        <v>455252400</v>
      </c>
      <c r="M22" s="11">
        <v>427943800</v>
      </c>
      <c r="N22" s="11">
        <v>427665800</v>
      </c>
      <c r="O22" s="11">
        <v>445746700</v>
      </c>
      <c r="P22" s="11">
        <v>433237100</v>
      </c>
      <c r="Q22" s="11">
        <v>478224700</v>
      </c>
      <c r="R22" s="11">
        <v>494624300</v>
      </c>
      <c r="S22" s="11">
        <v>451719700</v>
      </c>
      <c r="T22" s="11">
        <v>506179600</v>
      </c>
      <c r="U22" s="11">
        <v>474346900</v>
      </c>
      <c r="V22" s="11">
        <v>459859400</v>
      </c>
      <c r="W22" s="11">
        <v>476224000</v>
      </c>
      <c r="X22" s="11">
        <v>499154700</v>
      </c>
      <c r="Y22" s="11">
        <v>489796200</v>
      </c>
      <c r="Z22" s="11">
        <v>498480000</v>
      </c>
      <c r="AA22" s="11">
        <v>542063100</v>
      </c>
      <c r="AB22" s="11">
        <v>499776400</v>
      </c>
      <c r="AC22" s="11">
        <v>574323300</v>
      </c>
      <c r="AD22" s="11">
        <v>578263300</v>
      </c>
      <c r="AE22" s="11">
        <v>501883500</v>
      </c>
      <c r="AF22" s="11">
        <v>585395300</v>
      </c>
      <c r="AG22" s="11">
        <v>503644000</v>
      </c>
      <c r="AH22" s="11">
        <v>530609600</v>
      </c>
      <c r="AI22" s="11">
        <v>559061000</v>
      </c>
      <c r="AJ22" s="11">
        <v>560849300</v>
      </c>
      <c r="AK22" s="11">
        <v>546946900</v>
      </c>
      <c r="AL22" s="11">
        <v>534704900</v>
      </c>
      <c r="AM22" s="11">
        <v>560851800</v>
      </c>
      <c r="AN22" s="11">
        <v>552760500</v>
      </c>
      <c r="AO22" s="11">
        <v>599815600</v>
      </c>
      <c r="AP22" s="11">
        <v>598827300</v>
      </c>
      <c r="AQ22" s="11">
        <v>483816100</v>
      </c>
      <c r="AR22" s="11">
        <v>559761100</v>
      </c>
      <c r="AS22" s="11">
        <v>559498100</v>
      </c>
      <c r="AT22" s="11">
        <v>491698800</v>
      </c>
      <c r="AU22" s="11">
        <v>535334400</v>
      </c>
      <c r="AV22" s="11">
        <v>534894000</v>
      </c>
      <c r="AW22" s="11">
        <v>369811900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</row>
    <row r="23" spans="1:65" s="10" customFormat="1" hidden="1" x14ac:dyDescent="0.25">
      <c r="A23" s="8">
        <v>116</v>
      </c>
      <c r="B23" s="1" t="e">
        <f>VLOOKUP(E23,'[2]Peajes (1)'!$A:$D,4,0)</f>
        <v>#N/A</v>
      </c>
      <c r="C23" s="8" t="s">
        <v>177</v>
      </c>
      <c r="D23" s="8" t="s">
        <v>178</v>
      </c>
      <c r="E23" s="8" t="s">
        <v>131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230606300</v>
      </c>
      <c r="AX23" s="11">
        <v>745050000</v>
      </c>
      <c r="AY23" s="11">
        <v>750025500</v>
      </c>
      <c r="AZ23" s="11">
        <v>727359800</v>
      </c>
      <c r="BA23" s="11">
        <v>847882800</v>
      </c>
      <c r="BB23" s="11">
        <v>833068800</v>
      </c>
      <c r="BC23" s="11">
        <v>672540700</v>
      </c>
      <c r="BD23" s="11">
        <v>820388600</v>
      </c>
      <c r="BE23" s="11">
        <v>731159700</v>
      </c>
      <c r="BF23" s="11">
        <v>900178100</v>
      </c>
      <c r="BG23" s="11">
        <v>1106416900</v>
      </c>
      <c r="BH23" s="11">
        <v>859591400</v>
      </c>
      <c r="BI23" s="11">
        <v>765823600</v>
      </c>
      <c r="BJ23" s="11">
        <v>774830600</v>
      </c>
      <c r="BK23" s="11">
        <v>801349500</v>
      </c>
      <c r="BL23" s="11">
        <v>745995500</v>
      </c>
      <c r="BM23" s="11">
        <v>863206700</v>
      </c>
    </row>
    <row r="24" spans="1:65" s="10" customFormat="1" x14ac:dyDescent="0.25">
      <c r="A24" s="8">
        <v>116</v>
      </c>
      <c r="B24" s="1">
        <f>VLOOKUP(E24,'[2]Peajes (1)'!$A:$D,4,0)</f>
        <v>3830</v>
      </c>
      <c r="C24" s="8" t="s">
        <v>177</v>
      </c>
      <c r="D24" s="8" t="s">
        <v>178</v>
      </c>
      <c r="E24" s="8" t="s">
        <v>241</v>
      </c>
      <c r="F24" s="11">
        <f>SUM(F22:F23)</f>
        <v>437256400</v>
      </c>
      <c r="G24" s="11">
        <f t="shared" ref="G24:BM24" si="1">SUM(G22:G23)</f>
        <v>368627100</v>
      </c>
      <c r="H24" s="11">
        <f t="shared" si="1"/>
        <v>410520300</v>
      </c>
      <c r="I24" s="11">
        <f t="shared" si="1"/>
        <v>413934200</v>
      </c>
      <c r="J24" s="11">
        <f t="shared" si="1"/>
        <v>415392700</v>
      </c>
      <c r="K24" s="11">
        <f t="shared" si="1"/>
        <v>421126200</v>
      </c>
      <c r="L24" s="11">
        <f t="shared" si="1"/>
        <v>455252400</v>
      </c>
      <c r="M24" s="11">
        <f t="shared" si="1"/>
        <v>427943800</v>
      </c>
      <c r="N24" s="11">
        <f t="shared" si="1"/>
        <v>427665800</v>
      </c>
      <c r="O24" s="11">
        <f t="shared" si="1"/>
        <v>445746700</v>
      </c>
      <c r="P24" s="11">
        <f t="shared" si="1"/>
        <v>433237100</v>
      </c>
      <c r="Q24" s="11">
        <f t="shared" si="1"/>
        <v>478224700</v>
      </c>
      <c r="R24" s="11">
        <f t="shared" si="1"/>
        <v>494624300</v>
      </c>
      <c r="S24" s="11">
        <f t="shared" si="1"/>
        <v>451719700</v>
      </c>
      <c r="T24" s="11">
        <f t="shared" si="1"/>
        <v>506179600</v>
      </c>
      <c r="U24" s="11">
        <f t="shared" si="1"/>
        <v>474346900</v>
      </c>
      <c r="V24" s="11">
        <f t="shared" si="1"/>
        <v>459859400</v>
      </c>
      <c r="W24" s="11">
        <f t="shared" si="1"/>
        <v>476224000</v>
      </c>
      <c r="X24" s="11">
        <f t="shared" si="1"/>
        <v>499154700</v>
      </c>
      <c r="Y24" s="11">
        <f t="shared" si="1"/>
        <v>489796200</v>
      </c>
      <c r="Z24" s="11">
        <f t="shared" si="1"/>
        <v>498480000</v>
      </c>
      <c r="AA24" s="11">
        <f t="shared" si="1"/>
        <v>542063100</v>
      </c>
      <c r="AB24" s="11">
        <f t="shared" si="1"/>
        <v>499776400</v>
      </c>
      <c r="AC24" s="11">
        <f t="shared" si="1"/>
        <v>574323300</v>
      </c>
      <c r="AD24" s="11">
        <f t="shared" si="1"/>
        <v>578263300</v>
      </c>
      <c r="AE24" s="11">
        <f t="shared" si="1"/>
        <v>501883500</v>
      </c>
      <c r="AF24" s="11">
        <f t="shared" si="1"/>
        <v>585395300</v>
      </c>
      <c r="AG24" s="11">
        <f t="shared" si="1"/>
        <v>503644000</v>
      </c>
      <c r="AH24" s="11">
        <f t="shared" si="1"/>
        <v>530609600</v>
      </c>
      <c r="AI24" s="11">
        <f t="shared" si="1"/>
        <v>559061000</v>
      </c>
      <c r="AJ24" s="11">
        <f t="shared" si="1"/>
        <v>560849300</v>
      </c>
      <c r="AK24" s="11">
        <f t="shared" si="1"/>
        <v>546946900</v>
      </c>
      <c r="AL24" s="11">
        <f t="shared" si="1"/>
        <v>534704900</v>
      </c>
      <c r="AM24" s="11">
        <f t="shared" si="1"/>
        <v>560851800</v>
      </c>
      <c r="AN24" s="11">
        <f t="shared" si="1"/>
        <v>552760500</v>
      </c>
      <c r="AO24" s="11">
        <f t="shared" si="1"/>
        <v>599815600</v>
      </c>
      <c r="AP24" s="11">
        <f t="shared" si="1"/>
        <v>598827300</v>
      </c>
      <c r="AQ24" s="11">
        <f t="shared" si="1"/>
        <v>483816100</v>
      </c>
      <c r="AR24" s="11">
        <f t="shared" si="1"/>
        <v>559761100</v>
      </c>
      <c r="AS24" s="11">
        <f t="shared" si="1"/>
        <v>559498100</v>
      </c>
      <c r="AT24" s="11">
        <f t="shared" si="1"/>
        <v>491698800</v>
      </c>
      <c r="AU24" s="11">
        <f t="shared" si="1"/>
        <v>535334400</v>
      </c>
      <c r="AV24" s="11">
        <f t="shared" si="1"/>
        <v>534894000</v>
      </c>
      <c r="AW24" s="11">
        <f t="shared" si="1"/>
        <v>600418200</v>
      </c>
      <c r="AX24" s="11">
        <f t="shared" si="1"/>
        <v>745050000</v>
      </c>
      <c r="AY24" s="11">
        <f t="shared" si="1"/>
        <v>750025500</v>
      </c>
      <c r="AZ24" s="11">
        <f t="shared" si="1"/>
        <v>727359800</v>
      </c>
      <c r="BA24" s="11">
        <f t="shared" si="1"/>
        <v>847882800</v>
      </c>
      <c r="BB24" s="11">
        <f t="shared" si="1"/>
        <v>833068800</v>
      </c>
      <c r="BC24" s="11">
        <f t="shared" si="1"/>
        <v>672540700</v>
      </c>
      <c r="BD24" s="11">
        <f t="shared" si="1"/>
        <v>820388600</v>
      </c>
      <c r="BE24" s="11">
        <f t="shared" si="1"/>
        <v>731159700</v>
      </c>
      <c r="BF24" s="11">
        <f t="shared" si="1"/>
        <v>900178100</v>
      </c>
      <c r="BG24" s="11">
        <f t="shared" si="1"/>
        <v>1106416900</v>
      </c>
      <c r="BH24" s="11">
        <f t="shared" si="1"/>
        <v>859591400</v>
      </c>
      <c r="BI24" s="11">
        <f t="shared" si="1"/>
        <v>765823600</v>
      </c>
      <c r="BJ24" s="11">
        <f t="shared" si="1"/>
        <v>774830600</v>
      </c>
      <c r="BK24" s="11">
        <f t="shared" si="1"/>
        <v>801349500</v>
      </c>
      <c r="BL24" s="11">
        <f t="shared" si="1"/>
        <v>745995500</v>
      </c>
      <c r="BM24" s="11">
        <f t="shared" si="1"/>
        <v>863206700</v>
      </c>
    </row>
    <row r="25" spans="1:65" x14ac:dyDescent="0.25">
      <c r="A25" s="1">
        <v>38</v>
      </c>
      <c r="B25" s="1">
        <f>VLOOKUP(E25,'[2]Peajes (1)'!$A:$D,4,0)</f>
        <v>5604</v>
      </c>
      <c r="C25" s="3" t="s">
        <v>59</v>
      </c>
      <c r="D25" s="3" t="s">
        <v>60</v>
      </c>
      <c r="E25" s="3" t="s">
        <v>61</v>
      </c>
      <c r="F25" s="4">
        <v>1273671700</v>
      </c>
      <c r="G25" s="4">
        <v>1213033350</v>
      </c>
      <c r="H25" s="4">
        <v>1329363300</v>
      </c>
      <c r="I25" s="4">
        <v>1273468100</v>
      </c>
      <c r="J25" s="4">
        <v>1356971800</v>
      </c>
      <c r="K25" s="4">
        <v>1277637400</v>
      </c>
      <c r="L25" s="4">
        <v>1395128300</v>
      </c>
      <c r="M25" s="4">
        <v>1393199100</v>
      </c>
      <c r="N25" s="4">
        <v>1335845300</v>
      </c>
      <c r="O25" s="4">
        <v>1375155300</v>
      </c>
      <c r="P25" s="4">
        <v>1296897200</v>
      </c>
      <c r="Q25" s="4">
        <v>1501930400</v>
      </c>
      <c r="R25" s="4">
        <v>1381026000</v>
      </c>
      <c r="S25" s="4">
        <v>1319019900</v>
      </c>
      <c r="T25" s="4">
        <v>1505607300</v>
      </c>
      <c r="U25" s="4">
        <v>1508825800</v>
      </c>
      <c r="V25" s="4">
        <v>1609441600</v>
      </c>
      <c r="W25" s="4">
        <v>1674224800</v>
      </c>
      <c r="X25" s="4">
        <v>1878177900</v>
      </c>
      <c r="Y25" s="4">
        <v>1801803400</v>
      </c>
      <c r="Z25" s="4">
        <v>1747458100</v>
      </c>
      <c r="AA25" s="4">
        <v>1831666600</v>
      </c>
      <c r="AB25" s="4">
        <v>1702527150</v>
      </c>
      <c r="AC25" s="4">
        <v>1865820000</v>
      </c>
      <c r="AD25" s="4">
        <v>1690937300</v>
      </c>
      <c r="AE25" s="4">
        <v>1720211300</v>
      </c>
      <c r="AF25" s="4">
        <v>1733638300</v>
      </c>
      <c r="AG25" s="4">
        <v>1641204000</v>
      </c>
      <c r="AH25" s="4">
        <v>1708811800</v>
      </c>
      <c r="AI25" s="4">
        <v>1724369600</v>
      </c>
      <c r="AJ25" s="4">
        <v>1759445000</v>
      </c>
      <c r="AK25" s="4">
        <v>1827360000</v>
      </c>
      <c r="AL25" s="4">
        <v>1705936950</v>
      </c>
      <c r="AM25" s="4">
        <v>1742333500</v>
      </c>
      <c r="AN25" s="4">
        <v>1698401000</v>
      </c>
      <c r="AO25" s="4">
        <v>1922898400</v>
      </c>
      <c r="AP25" s="4">
        <v>1727875500</v>
      </c>
      <c r="AQ25" s="4">
        <v>1716461200</v>
      </c>
      <c r="AR25" s="4">
        <v>1836195200</v>
      </c>
      <c r="AS25" s="4">
        <v>1729829700</v>
      </c>
      <c r="AT25" s="4">
        <v>1844000300</v>
      </c>
      <c r="AU25" s="4">
        <v>1861546300</v>
      </c>
      <c r="AV25" s="4">
        <v>1859487900</v>
      </c>
      <c r="AW25" s="4">
        <v>1915259900</v>
      </c>
      <c r="AX25" s="4">
        <v>1757874700</v>
      </c>
      <c r="AY25" s="4">
        <v>1759941800</v>
      </c>
      <c r="AZ25" s="4">
        <v>1756159600</v>
      </c>
      <c r="BA25" s="4">
        <v>2011450800</v>
      </c>
      <c r="BB25" s="4">
        <v>1792267800</v>
      </c>
      <c r="BC25" s="4">
        <v>1702298900</v>
      </c>
      <c r="BD25" s="4">
        <v>1850722700</v>
      </c>
      <c r="BE25" s="4">
        <v>1846570200</v>
      </c>
      <c r="BF25" s="4">
        <v>1967377000</v>
      </c>
      <c r="BG25" s="4">
        <v>1983673500</v>
      </c>
      <c r="BH25" s="4">
        <v>2056184600</v>
      </c>
      <c r="BI25" s="4">
        <v>2135398700</v>
      </c>
      <c r="BJ25" s="4">
        <v>2051436500</v>
      </c>
      <c r="BK25" s="4">
        <v>2146739700</v>
      </c>
      <c r="BL25" s="4">
        <v>0</v>
      </c>
      <c r="BM25" s="4">
        <v>0</v>
      </c>
    </row>
    <row r="26" spans="1:65" x14ac:dyDescent="0.25">
      <c r="A26" s="1">
        <v>39</v>
      </c>
      <c r="B26" s="1">
        <f>VLOOKUP(E26,'[2]Peajes (1)'!$A:$D,4,0)</f>
        <v>5605</v>
      </c>
      <c r="C26" s="3" t="s">
        <v>59</v>
      </c>
      <c r="D26" s="3" t="s">
        <v>60</v>
      </c>
      <c r="E26" s="3" t="s">
        <v>238</v>
      </c>
      <c r="F26" s="4">
        <v>3682455700</v>
      </c>
      <c r="G26" s="4">
        <v>3067332500</v>
      </c>
      <c r="H26" s="4">
        <v>3574511000</v>
      </c>
      <c r="I26" s="4">
        <v>3536036100</v>
      </c>
      <c r="J26" s="4">
        <v>3362055600</v>
      </c>
      <c r="K26" s="4">
        <v>3598022550</v>
      </c>
      <c r="L26" s="4">
        <v>3763886000</v>
      </c>
      <c r="M26" s="4">
        <v>3762513300</v>
      </c>
      <c r="N26" s="4">
        <v>3586891400</v>
      </c>
      <c r="O26" s="4">
        <v>3642173150</v>
      </c>
      <c r="P26" s="4">
        <v>3608617100</v>
      </c>
      <c r="Q26" s="4">
        <v>4254740000</v>
      </c>
      <c r="R26" s="4">
        <v>4263116000</v>
      </c>
      <c r="S26" s="4">
        <v>3621392800</v>
      </c>
      <c r="T26" s="4">
        <v>3868638200</v>
      </c>
      <c r="U26" s="4">
        <v>3847203000</v>
      </c>
      <c r="V26" s="4">
        <v>4034526700</v>
      </c>
      <c r="W26" s="4">
        <v>4158175900</v>
      </c>
      <c r="X26" s="4">
        <v>4311209800</v>
      </c>
      <c r="Y26" s="4">
        <v>4182370900</v>
      </c>
      <c r="Z26" s="4">
        <v>3988784400</v>
      </c>
      <c r="AA26" s="4">
        <v>4206617600</v>
      </c>
      <c r="AB26" s="4">
        <v>4057702050</v>
      </c>
      <c r="AC26" s="4">
        <v>4843959400</v>
      </c>
      <c r="AD26" s="4">
        <v>4773608400</v>
      </c>
      <c r="AE26" s="4">
        <v>4091217200</v>
      </c>
      <c r="AF26" s="4">
        <v>4701930400</v>
      </c>
      <c r="AG26" s="4">
        <v>4079244350</v>
      </c>
      <c r="AH26" s="4">
        <v>4199866600</v>
      </c>
      <c r="AI26" s="4">
        <v>4077622300</v>
      </c>
      <c r="AJ26" s="4">
        <v>4406528700</v>
      </c>
      <c r="AK26" s="4">
        <v>4828081900</v>
      </c>
      <c r="AL26" s="4">
        <v>4323314500</v>
      </c>
      <c r="AM26" s="4">
        <v>4543596500</v>
      </c>
      <c r="AN26" s="4">
        <v>4423385300</v>
      </c>
      <c r="AO26" s="4">
        <v>5086835700</v>
      </c>
      <c r="AP26" s="4">
        <v>4967386200</v>
      </c>
      <c r="AQ26" s="4">
        <v>4348695800</v>
      </c>
      <c r="AR26" s="4">
        <v>4658388500</v>
      </c>
      <c r="AS26" s="4">
        <v>4872715600</v>
      </c>
      <c r="AT26" s="4">
        <v>4340840800</v>
      </c>
      <c r="AU26" s="4">
        <v>4654536500</v>
      </c>
      <c r="AV26" s="4">
        <v>5196336800</v>
      </c>
      <c r="AW26" s="4">
        <v>5246041400</v>
      </c>
      <c r="AX26" s="4">
        <v>4815558600</v>
      </c>
      <c r="AY26" s="4">
        <v>4940158400</v>
      </c>
      <c r="AZ26" s="4">
        <v>4733992200</v>
      </c>
      <c r="BA26" s="4">
        <v>5565322900</v>
      </c>
      <c r="BB26" s="4">
        <v>5435573600</v>
      </c>
      <c r="BC26" s="4">
        <v>4577786300</v>
      </c>
      <c r="BD26" s="4">
        <v>5360112100</v>
      </c>
      <c r="BE26" s="4">
        <v>5014875300</v>
      </c>
      <c r="BF26" s="4">
        <v>4844092300</v>
      </c>
      <c r="BG26" s="4">
        <v>5135969600</v>
      </c>
      <c r="BH26" s="4">
        <v>5476909700</v>
      </c>
      <c r="BI26" s="4">
        <v>5515725500</v>
      </c>
      <c r="BJ26" s="4">
        <v>5180729300</v>
      </c>
      <c r="BK26" s="4">
        <v>5414942800</v>
      </c>
      <c r="BL26" s="4">
        <v>0</v>
      </c>
      <c r="BM26" s="4">
        <v>0</v>
      </c>
    </row>
    <row r="27" spans="1:65" x14ac:dyDescent="0.25">
      <c r="A27" s="1">
        <v>66</v>
      </c>
      <c r="B27" s="1">
        <f>VLOOKUP(E27,'[2]Peajes (1)'!$A:$D,4,0)</f>
        <v>3919</v>
      </c>
      <c r="C27" s="3" t="s">
        <v>92</v>
      </c>
      <c r="D27" s="3" t="s">
        <v>93</v>
      </c>
      <c r="E27" s="3" t="s">
        <v>94</v>
      </c>
      <c r="F27" s="4">
        <v>3702394600</v>
      </c>
      <c r="G27" s="4">
        <v>3161146100</v>
      </c>
      <c r="H27" s="4">
        <v>3511160700</v>
      </c>
      <c r="I27" s="4">
        <v>3619925200</v>
      </c>
      <c r="J27" s="4">
        <v>3613706200</v>
      </c>
      <c r="K27" s="4">
        <v>3509922100</v>
      </c>
      <c r="L27" s="4">
        <v>3802152600</v>
      </c>
      <c r="M27" s="4">
        <v>3800607700</v>
      </c>
      <c r="N27" s="4">
        <v>3572589500</v>
      </c>
      <c r="O27" s="4">
        <v>3856334100</v>
      </c>
      <c r="P27" s="4">
        <v>3725912300</v>
      </c>
      <c r="Q27" s="4">
        <v>4196615400</v>
      </c>
      <c r="R27" s="4">
        <v>4182599700</v>
      </c>
      <c r="S27" s="4">
        <v>3521602600</v>
      </c>
      <c r="T27" s="4">
        <v>3712406900</v>
      </c>
      <c r="U27" s="4">
        <v>3911693300</v>
      </c>
      <c r="V27" s="4">
        <v>3885886600</v>
      </c>
      <c r="W27" s="4">
        <v>3928650300</v>
      </c>
      <c r="X27" s="4">
        <v>4193859700</v>
      </c>
      <c r="Y27" s="4">
        <v>4177379500</v>
      </c>
      <c r="Z27" s="4">
        <v>3992301600</v>
      </c>
      <c r="AA27" s="4">
        <v>4205233100</v>
      </c>
      <c r="AB27" s="4">
        <v>4087144700</v>
      </c>
      <c r="AC27" s="4">
        <v>4632619600</v>
      </c>
      <c r="AD27" s="4">
        <v>4714358000</v>
      </c>
      <c r="AE27" s="4">
        <v>4097020700</v>
      </c>
      <c r="AF27" s="4">
        <v>4586220300</v>
      </c>
      <c r="AG27" s="4">
        <v>4119695600</v>
      </c>
      <c r="AH27" s="4">
        <v>4349791600</v>
      </c>
      <c r="AI27" s="4">
        <v>3984680800</v>
      </c>
      <c r="AJ27" s="4">
        <v>4249902900</v>
      </c>
      <c r="AK27" s="4">
        <v>4954975000</v>
      </c>
      <c r="AL27" s="4">
        <v>4413753300</v>
      </c>
      <c r="AM27" s="4">
        <v>4588172300</v>
      </c>
      <c r="AN27" s="4">
        <v>4513560600</v>
      </c>
      <c r="AO27" s="4">
        <v>5058957200</v>
      </c>
      <c r="AP27" s="4">
        <v>5022918800</v>
      </c>
      <c r="AQ27" s="4">
        <v>4209239700</v>
      </c>
      <c r="AR27" s="4">
        <v>4550748400</v>
      </c>
      <c r="AS27" s="4">
        <v>4642371300</v>
      </c>
      <c r="AT27" s="4">
        <v>4437923000</v>
      </c>
      <c r="AU27" s="4">
        <v>4745640000</v>
      </c>
      <c r="AV27" s="4">
        <v>4961672400</v>
      </c>
      <c r="AW27" s="4">
        <v>4915822800</v>
      </c>
      <c r="AX27" s="4">
        <v>4524543300</v>
      </c>
      <c r="AY27" s="4">
        <v>4800028500</v>
      </c>
      <c r="AZ27" s="4">
        <v>4788213700</v>
      </c>
      <c r="BA27" s="4">
        <v>5379759700</v>
      </c>
      <c r="BB27" s="4">
        <v>5175572200</v>
      </c>
      <c r="BC27" s="4">
        <v>3895081700</v>
      </c>
      <c r="BD27" s="4">
        <v>4445654500</v>
      </c>
      <c r="BE27" s="4">
        <v>4401721150</v>
      </c>
      <c r="BF27" s="4">
        <v>4416009600</v>
      </c>
      <c r="BG27" s="4">
        <v>4470376800</v>
      </c>
      <c r="BH27" s="4">
        <v>4848675600</v>
      </c>
      <c r="BI27" s="4">
        <v>4890020600</v>
      </c>
      <c r="BJ27" s="4">
        <v>4466797900</v>
      </c>
      <c r="BK27" s="4">
        <v>4756155700</v>
      </c>
      <c r="BL27" s="4">
        <v>4677686050</v>
      </c>
      <c r="BM27" s="4">
        <v>5280333750</v>
      </c>
    </row>
    <row r="28" spans="1:65" x14ac:dyDescent="0.25">
      <c r="A28" s="1">
        <v>64</v>
      </c>
      <c r="B28" s="1">
        <f>VLOOKUP(E28,'[2]Peajes (1)'!$A:$D,4,0)</f>
        <v>3923</v>
      </c>
      <c r="C28" s="3" t="s">
        <v>88</v>
      </c>
      <c r="D28" s="3" t="s">
        <v>89</v>
      </c>
      <c r="E28" s="3" t="s">
        <v>90</v>
      </c>
      <c r="F28" s="4">
        <v>3685150500</v>
      </c>
      <c r="G28" s="4">
        <v>3007858700</v>
      </c>
      <c r="H28" s="4">
        <v>3254731600</v>
      </c>
      <c r="I28" s="4">
        <v>3535104900</v>
      </c>
      <c r="J28" s="4">
        <v>3432083600</v>
      </c>
      <c r="K28" s="4">
        <v>3478013200</v>
      </c>
      <c r="L28" s="4">
        <v>3684649900</v>
      </c>
      <c r="M28" s="4">
        <v>3606208400</v>
      </c>
      <c r="N28" s="4">
        <v>3316568800</v>
      </c>
      <c r="O28" s="4">
        <v>3652672500</v>
      </c>
      <c r="P28" s="4">
        <v>3812048200</v>
      </c>
      <c r="Q28" s="4">
        <v>4068529000</v>
      </c>
      <c r="R28" s="4">
        <v>4055323500</v>
      </c>
      <c r="S28" s="4">
        <v>3305422800</v>
      </c>
      <c r="T28" s="4">
        <v>3498945700</v>
      </c>
      <c r="U28" s="4">
        <v>3682590100</v>
      </c>
      <c r="V28" s="4">
        <v>3649891000</v>
      </c>
      <c r="W28" s="4">
        <v>3945495500</v>
      </c>
      <c r="X28" s="4">
        <v>3997002600</v>
      </c>
      <c r="Y28" s="4">
        <v>3793396800</v>
      </c>
      <c r="Z28" s="4">
        <v>3645314400</v>
      </c>
      <c r="AA28" s="4">
        <v>3973468500</v>
      </c>
      <c r="AB28" s="4">
        <v>3702686300</v>
      </c>
      <c r="AC28" s="4">
        <v>4445743100</v>
      </c>
      <c r="AD28" s="4">
        <v>4492516100</v>
      </c>
      <c r="AE28" s="4">
        <v>3528111300</v>
      </c>
      <c r="AF28" s="4">
        <v>4142130800</v>
      </c>
      <c r="AG28" s="4">
        <v>3697413700</v>
      </c>
      <c r="AH28" s="4">
        <v>3878943800</v>
      </c>
      <c r="AI28" s="4">
        <v>3716781400</v>
      </c>
      <c r="AJ28" s="4">
        <v>3851899800</v>
      </c>
      <c r="AK28" s="4">
        <v>4418117500</v>
      </c>
      <c r="AL28" s="4">
        <v>3882814800</v>
      </c>
      <c r="AM28" s="4">
        <v>4161309000</v>
      </c>
      <c r="AN28" s="4">
        <v>4072525900</v>
      </c>
      <c r="AO28" s="4">
        <v>4693205000</v>
      </c>
      <c r="AP28" s="4">
        <v>4714147700</v>
      </c>
      <c r="AQ28" s="4">
        <v>3712510100</v>
      </c>
      <c r="AR28" s="4">
        <v>4061357400</v>
      </c>
      <c r="AS28" s="4">
        <v>4388660100</v>
      </c>
      <c r="AT28" s="4">
        <v>3715486300</v>
      </c>
      <c r="AU28" s="4">
        <v>4509755900</v>
      </c>
      <c r="AV28" s="4">
        <v>4757393800</v>
      </c>
      <c r="AW28" s="4">
        <v>4483207200</v>
      </c>
      <c r="AX28" s="4">
        <v>4246974600</v>
      </c>
      <c r="AY28" s="4">
        <v>4598454700</v>
      </c>
      <c r="AZ28" s="4">
        <v>4240696200</v>
      </c>
      <c r="BA28" s="4">
        <v>4949980200</v>
      </c>
      <c r="BB28" s="4">
        <v>4965866600</v>
      </c>
      <c r="BC28" s="4">
        <v>3844234900</v>
      </c>
      <c r="BD28" s="4">
        <v>4428022600</v>
      </c>
      <c r="BE28" s="4">
        <v>4154992500</v>
      </c>
      <c r="BF28" s="4">
        <v>4188668200</v>
      </c>
      <c r="BG28" s="4">
        <v>4500787000</v>
      </c>
      <c r="BH28" s="4">
        <v>4709402800</v>
      </c>
      <c r="BI28" s="4">
        <v>4689292100</v>
      </c>
      <c r="BJ28" s="4">
        <v>4357142800</v>
      </c>
      <c r="BK28" s="4">
        <v>4843490400</v>
      </c>
      <c r="BL28" s="4">
        <v>4622467200</v>
      </c>
      <c r="BM28" s="4">
        <v>5124708100</v>
      </c>
    </row>
    <row r="29" spans="1:65" s="10" customFormat="1" hidden="1" x14ac:dyDescent="0.25">
      <c r="A29" s="8">
        <v>50</v>
      </c>
      <c r="B29" s="1">
        <f>VLOOKUP(E29,'[2]Peajes (1)'!$A:$D,4,0)</f>
        <v>3991</v>
      </c>
      <c r="C29" s="8" t="s">
        <v>75</v>
      </c>
      <c r="D29" s="8" t="s">
        <v>76</v>
      </c>
      <c r="E29" s="8" t="s">
        <v>77</v>
      </c>
      <c r="F29" s="11">
        <v>7067122650</v>
      </c>
      <c r="G29" s="11">
        <v>5037450350</v>
      </c>
      <c r="H29" s="11">
        <v>5740579350</v>
      </c>
      <c r="I29" s="11">
        <v>6213976400</v>
      </c>
      <c r="J29" s="11">
        <v>5716493550</v>
      </c>
      <c r="K29" s="11">
        <v>6593958350</v>
      </c>
      <c r="L29" s="11">
        <v>6493504950</v>
      </c>
      <c r="M29" s="11">
        <v>6399348400</v>
      </c>
      <c r="N29" s="11">
        <v>5762705302</v>
      </c>
      <c r="O29" s="11">
        <v>6671439300</v>
      </c>
      <c r="P29" s="11">
        <v>6624878750</v>
      </c>
      <c r="Q29" s="11">
        <v>7416498950</v>
      </c>
      <c r="R29" s="11">
        <v>7769955550</v>
      </c>
      <c r="S29" s="11">
        <v>5680058000</v>
      </c>
      <c r="T29" s="11">
        <v>6346887400</v>
      </c>
      <c r="U29" s="11">
        <v>6606520250</v>
      </c>
      <c r="V29" s="11">
        <v>6768265100</v>
      </c>
      <c r="W29" s="11">
        <v>7826014550</v>
      </c>
      <c r="X29" s="11">
        <v>7665021050</v>
      </c>
      <c r="Y29" s="11">
        <v>7374288000</v>
      </c>
      <c r="Z29" s="11">
        <v>6784621850</v>
      </c>
      <c r="AA29" s="11">
        <v>7670346650</v>
      </c>
      <c r="AB29" s="11">
        <v>7038589050</v>
      </c>
      <c r="AC29" s="11">
        <v>8432006100</v>
      </c>
      <c r="AD29" s="11">
        <v>8831598750</v>
      </c>
      <c r="AE29" s="11">
        <v>6323774950</v>
      </c>
      <c r="AF29" s="11">
        <v>7684520050</v>
      </c>
      <c r="AG29" s="11">
        <v>6412708250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</row>
    <row r="30" spans="1:65" s="10" customFormat="1" hidden="1" x14ac:dyDescent="0.25">
      <c r="A30" s="8">
        <v>137</v>
      </c>
      <c r="B30" s="1">
        <f>VLOOKUP(E30,'[2]Peajes (1)'!$A:$D,4,0)</f>
        <v>3991</v>
      </c>
      <c r="C30" s="8" t="s">
        <v>201</v>
      </c>
      <c r="D30" s="8" t="s">
        <v>202</v>
      </c>
      <c r="E30" s="8" t="s">
        <v>77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8885505850</v>
      </c>
      <c r="AP30" s="11">
        <v>9393478000</v>
      </c>
      <c r="AQ30" s="11">
        <v>6669798700</v>
      </c>
      <c r="AR30" s="11">
        <v>7590272300</v>
      </c>
      <c r="AS30" s="11">
        <v>8293113950</v>
      </c>
      <c r="AT30" s="11">
        <v>7229644250</v>
      </c>
      <c r="AU30" s="11">
        <v>8687801950</v>
      </c>
      <c r="AV30" s="11">
        <v>9266115500</v>
      </c>
      <c r="AW30" s="11">
        <v>8364485000</v>
      </c>
      <c r="AX30" s="11">
        <v>7527521250</v>
      </c>
      <c r="AY30" s="11">
        <v>8627106300</v>
      </c>
      <c r="AZ30" s="11">
        <v>7919369700</v>
      </c>
      <c r="BA30" s="11">
        <v>9675025800</v>
      </c>
      <c r="BB30" s="11">
        <v>9929343950</v>
      </c>
      <c r="BC30" s="11">
        <v>6965076400</v>
      </c>
      <c r="BD30" s="11">
        <v>8797031800</v>
      </c>
      <c r="BE30" s="11">
        <v>7546380600</v>
      </c>
      <c r="BF30" s="11">
        <v>7689699200</v>
      </c>
      <c r="BG30" s="11">
        <v>9176539050</v>
      </c>
      <c r="BH30" s="11">
        <v>9596295000</v>
      </c>
      <c r="BI30" s="11">
        <v>8869913600</v>
      </c>
      <c r="BJ30" s="11">
        <v>7988204600</v>
      </c>
      <c r="BK30" s="11">
        <v>9215153850</v>
      </c>
      <c r="BL30" s="11">
        <v>8711789300</v>
      </c>
      <c r="BM30" s="11">
        <v>9968900050</v>
      </c>
    </row>
    <row r="31" spans="1:65" s="10" customFormat="1" x14ac:dyDescent="0.25">
      <c r="A31" s="8">
        <v>137</v>
      </c>
      <c r="B31" s="1">
        <f>VLOOKUP(E31,'[2]Peajes (1)'!$A:$D,4,0)</f>
        <v>3991</v>
      </c>
      <c r="C31" s="8" t="s">
        <v>201</v>
      </c>
      <c r="D31" s="8" t="s">
        <v>202</v>
      </c>
      <c r="E31" s="8" t="s">
        <v>77</v>
      </c>
      <c r="F31" s="11">
        <f>SUM(F29:F30)</f>
        <v>7067122650</v>
      </c>
      <c r="G31" s="11">
        <f t="shared" ref="G31:BM31" si="2">SUM(G29:G30)</f>
        <v>5037450350</v>
      </c>
      <c r="H31" s="11">
        <f t="shared" si="2"/>
        <v>5740579350</v>
      </c>
      <c r="I31" s="11">
        <f t="shared" si="2"/>
        <v>6213976400</v>
      </c>
      <c r="J31" s="11">
        <f t="shared" si="2"/>
        <v>5716493550</v>
      </c>
      <c r="K31" s="11">
        <f t="shared" si="2"/>
        <v>6593958350</v>
      </c>
      <c r="L31" s="11">
        <f t="shared" si="2"/>
        <v>6493504950</v>
      </c>
      <c r="M31" s="11">
        <f t="shared" si="2"/>
        <v>6399348400</v>
      </c>
      <c r="N31" s="11">
        <f t="shared" si="2"/>
        <v>5762705302</v>
      </c>
      <c r="O31" s="11">
        <f t="shared" si="2"/>
        <v>6671439300</v>
      </c>
      <c r="P31" s="11">
        <f t="shared" si="2"/>
        <v>6624878750</v>
      </c>
      <c r="Q31" s="11">
        <f t="shared" si="2"/>
        <v>7416498950</v>
      </c>
      <c r="R31" s="11">
        <f t="shared" si="2"/>
        <v>7769955550</v>
      </c>
      <c r="S31" s="11">
        <f t="shared" si="2"/>
        <v>5680058000</v>
      </c>
      <c r="T31" s="11">
        <f t="shared" si="2"/>
        <v>6346887400</v>
      </c>
      <c r="U31" s="11">
        <f t="shared" si="2"/>
        <v>6606520250</v>
      </c>
      <c r="V31" s="11">
        <f t="shared" si="2"/>
        <v>6768265100</v>
      </c>
      <c r="W31" s="11">
        <f t="shared" si="2"/>
        <v>7826014550</v>
      </c>
      <c r="X31" s="11">
        <f t="shared" si="2"/>
        <v>7665021050</v>
      </c>
      <c r="Y31" s="11">
        <f t="shared" si="2"/>
        <v>7374288000</v>
      </c>
      <c r="Z31" s="11">
        <f t="shared" si="2"/>
        <v>6784621850</v>
      </c>
      <c r="AA31" s="11">
        <f t="shared" si="2"/>
        <v>7670346650</v>
      </c>
      <c r="AB31" s="11">
        <f t="shared" si="2"/>
        <v>7038589050</v>
      </c>
      <c r="AC31" s="11">
        <f t="shared" si="2"/>
        <v>8432006100</v>
      </c>
      <c r="AD31" s="11">
        <f t="shared" si="2"/>
        <v>8831598750</v>
      </c>
      <c r="AE31" s="11">
        <f t="shared" si="2"/>
        <v>6323774950</v>
      </c>
      <c r="AF31" s="11">
        <f t="shared" si="2"/>
        <v>7684520050</v>
      </c>
      <c r="AG31" s="11">
        <f t="shared" si="2"/>
        <v>6412708250</v>
      </c>
      <c r="AH31" s="11">
        <f t="shared" si="2"/>
        <v>0</v>
      </c>
      <c r="AI31" s="11">
        <f t="shared" si="2"/>
        <v>0</v>
      </c>
      <c r="AJ31" s="11">
        <f t="shared" si="2"/>
        <v>0</v>
      </c>
      <c r="AK31" s="11">
        <f t="shared" si="2"/>
        <v>0</v>
      </c>
      <c r="AL31" s="11">
        <f t="shared" si="2"/>
        <v>0</v>
      </c>
      <c r="AM31" s="11">
        <f t="shared" si="2"/>
        <v>0</v>
      </c>
      <c r="AN31" s="11">
        <f t="shared" si="2"/>
        <v>0</v>
      </c>
      <c r="AO31" s="11">
        <f t="shared" si="2"/>
        <v>8885505850</v>
      </c>
      <c r="AP31" s="11">
        <f t="shared" si="2"/>
        <v>9393478000</v>
      </c>
      <c r="AQ31" s="11">
        <f t="shared" si="2"/>
        <v>6669798700</v>
      </c>
      <c r="AR31" s="11">
        <f t="shared" si="2"/>
        <v>7590272300</v>
      </c>
      <c r="AS31" s="11">
        <f t="shared" si="2"/>
        <v>8293113950</v>
      </c>
      <c r="AT31" s="11">
        <f t="shared" si="2"/>
        <v>7229644250</v>
      </c>
      <c r="AU31" s="11">
        <f t="shared" si="2"/>
        <v>8687801950</v>
      </c>
      <c r="AV31" s="11">
        <f t="shared" si="2"/>
        <v>9266115500</v>
      </c>
      <c r="AW31" s="11">
        <f t="shared" si="2"/>
        <v>8364485000</v>
      </c>
      <c r="AX31" s="11">
        <f t="shared" si="2"/>
        <v>7527521250</v>
      </c>
      <c r="AY31" s="11">
        <f t="shared" si="2"/>
        <v>8627106300</v>
      </c>
      <c r="AZ31" s="11">
        <f t="shared" si="2"/>
        <v>7919369700</v>
      </c>
      <c r="BA31" s="11">
        <f t="shared" si="2"/>
        <v>9675025800</v>
      </c>
      <c r="BB31" s="11">
        <f t="shared" si="2"/>
        <v>9929343950</v>
      </c>
      <c r="BC31" s="11">
        <f t="shared" si="2"/>
        <v>6965076400</v>
      </c>
      <c r="BD31" s="11">
        <f t="shared" si="2"/>
        <v>8797031800</v>
      </c>
      <c r="BE31" s="11">
        <f t="shared" si="2"/>
        <v>7546380600</v>
      </c>
      <c r="BF31" s="11">
        <f t="shared" si="2"/>
        <v>7689699200</v>
      </c>
      <c r="BG31" s="11">
        <f t="shared" si="2"/>
        <v>9176539050</v>
      </c>
      <c r="BH31" s="11">
        <f t="shared" si="2"/>
        <v>9596295000</v>
      </c>
      <c r="BI31" s="11">
        <f t="shared" si="2"/>
        <v>8869913600</v>
      </c>
      <c r="BJ31" s="11">
        <f t="shared" si="2"/>
        <v>7988204600</v>
      </c>
      <c r="BK31" s="11">
        <f t="shared" si="2"/>
        <v>9215153850</v>
      </c>
      <c r="BL31" s="11">
        <f t="shared" si="2"/>
        <v>8711789300</v>
      </c>
      <c r="BM31" s="11">
        <f t="shared" si="2"/>
        <v>9968900050</v>
      </c>
    </row>
    <row r="32" spans="1:65" s="10" customFormat="1" hidden="1" x14ac:dyDescent="0.25">
      <c r="A32" s="8">
        <v>51</v>
      </c>
      <c r="B32" s="1">
        <f>VLOOKUP(E32,'[2]Peajes (1)'!$A:$D,4,0)</f>
        <v>3815</v>
      </c>
      <c r="C32" s="8" t="s">
        <v>75</v>
      </c>
      <c r="D32" s="8" t="s">
        <v>76</v>
      </c>
      <c r="E32" s="8" t="s">
        <v>78</v>
      </c>
      <c r="F32" s="11">
        <v>7821236700</v>
      </c>
      <c r="G32" s="11">
        <v>5703817700</v>
      </c>
      <c r="H32" s="11">
        <v>6502025700</v>
      </c>
      <c r="I32" s="11">
        <v>7049668450</v>
      </c>
      <c r="J32" s="11">
        <v>6592006150</v>
      </c>
      <c r="K32" s="11">
        <v>7566770800</v>
      </c>
      <c r="L32" s="11">
        <v>7390175650</v>
      </c>
      <c r="M32" s="11">
        <v>7442224350</v>
      </c>
      <c r="N32" s="11">
        <v>6689434600</v>
      </c>
      <c r="O32" s="11">
        <v>7691769900</v>
      </c>
      <c r="P32" s="11">
        <v>7713524700</v>
      </c>
      <c r="Q32" s="11">
        <v>8692742600</v>
      </c>
      <c r="R32" s="11">
        <v>8840639250</v>
      </c>
      <c r="S32" s="11">
        <v>6648094550</v>
      </c>
      <c r="T32" s="11">
        <v>7494290100</v>
      </c>
      <c r="U32" s="11">
        <v>7742501910</v>
      </c>
      <c r="V32" s="11">
        <v>8014271150</v>
      </c>
      <c r="W32" s="11">
        <v>9101644850</v>
      </c>
      <c r="X32" s="11">
        <v>8772025950</v>
      </c>
      <c r="Y32" s="11">
        <v>8655221500</v>
      </c>
      <c r="Z32" s="11">
        <v>7895198350</v>
      </c>
      <c r="AA32" s="11">
        <v>8893222620</v>
      </c>
      <c r="AB32" s="11">
        <v>8309746750</v>
      </c>
      <c r="AC32" s="11">
        <v>9956609850</v>
      </c>
      <c r="AD32" s="11">
        <v>10212231400</v>
      </c>
      <c r="AE32" s="11">
        <v>7494900050</v>
      </c>
      <c r="AF32" s="11">
        <v>9080923950</v>
      </c>
      <c r="AG32" s="11">
        <v>7653077300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</row>
    <row r="33" spans="1:65" s="10" customFormat="1" hidden="1" x14ac:dyDescent="0.25">
      <c r="A33" s="8">
        <v>138</v>
      </c>
      <c r="B33" s="1">
        <f>VLOOKUP(E33,'[2]Peajes (1)'!$A:$D,4,0)</f>
        <v>3815</v>
      </c>
      <c r="C33" s="8" t="s">
        <v>201</v>
      </c>
      <c r="D33" s="8" t="s">
        <v>202</v>
      </c>
      <c r="E33" s="8" t="s">
        <v>78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10712227100</v>
      </c>
      <c r="AP33" s="11">
        <v>10900716700</v>
      </c>
      <c r="AQ33" s="11">
        <v>7991321800</v>
      </c>
      <c r="AR33" s="11">
        <v>9035120400</v>
      </c>
      <c r="AS33" s="11">
        <v>9784502550</v>
      </c>
      <c r="AT33" s="11">
        <v>8738282400</v>
      </c>
      <c r="AU33" s="11">
        <v>10207107850</v>
      </c>
      <c r="AV33" s="11">
        <v>10809674100</v>
      </c>
      <c r="AW33" s="11">
        <v>9887201300</v>
      </c>
      <c r="AX33" s="11">
        <v>8943356950</v>
      </c>
      <c r="AY33" s="11">
        <v>10187311000</v>
      </c>
      <c r="AZ33" s="11">
        <v>9504201700</v>
      </c>
      <c r="BA33" s="11">
        <v>11582901000</v>
      </c>
      <c r="BB33" s="11">
        <v>11473555150</v>
      </c>
      <c r="BC33" s="11">
        <v>8334228250</v>
      </c>
      <c r="BD33" s="11">
        <v>10483539350</v>
      </c>
      <c r="BE33" s="11">
        <v>9025058400</v>
      </c>
      <c r="BF33" s="11">
        <v>9176275100</v>
      </c>
      <c r="BG33" s="11">
        <v>10749071700</v>
      </c>
      <c r="BH33" s="11">
        <v>11104599950</v>
      </c>
      <c r="BI33" s="11">
        <v>10383853800</v>
      </c>
      <c r="BJ33" s="11">
        <v>9485357000</v>
      </c>
      <c r="BK33" s="11">
        <v>10963737750</v>
      </c>
      <c r="BL33" s="11">
        <v>10395196700</v>
      </c>
      <c r="BM33" s="11">
        <v>12012935850</v>
      </c>
    </row>
    <row r="34" spans="1:65" s="10" customFormat="1" x14ac:dyDescent="0.25">
      <c r="A34" s="8">
        <v>138</v>
      </c>
      <c r="B34" s="1">
        <f>VLOOKUP(E34,'[2]Peajes (1)'!$A:$D,4,0)</f>
        <v>3815</v>
      </c>
      <c r="C34" s="8" t="s">
        <v>201</v>
      </c>
      <c r="D34" s="8" t="s">
        <v>202</v>
      </c>
      <c r="E34" s="8" t="s">
        <v>78</v>
      </c>
      <c r="F34" s="11">
        <f>SUM(F32:F33)</f>
        <v>7821236700</v>
      </c>
      <c r="G34" s="11">
        <f t="shared" ref="G34:BM34" si="3">SUM(G32:G33)</f>
        <v>5703817700</v>
      </c>
      <c r="H34" s="11">
        <f t="shared" si="3"/>
        <v>6502025700</v>
      </c>
      <c r="I34" s="11">
        <f t="shared" si="3"/>
        <v>7049668450</v>
      </c>
      <c r="J34" s="11">
        <f t="shared" si="3"/>
        <v>6592006150</v>
      </c>
      <c r="K34" s="11">
        <f t="shared" si="3"/>
        <v>7566770800</v>
      </c>
      <c r="L34" s="11">
        <f t="shared" si="3"/>
        <v>7390175650</v>
      </c>
      <c r="M34" s="11">
        <f t="shared" si="3"/>
        <v>7442224350</v>
      </c>
      <c r="N34" s="11">
        <f t="shared" si="3"/>
        <v>6689434600</v>
      </c>
      <c r="O34" s="11">
        <f t="shared" si="3"/>
        <v>7691769900</v>
      </c>
      <c r="P34" s="11">
        <f t="shared" si="3"/>
        <v>7713524700</v>
      </c>
      <c r="Q34" s="11">
        <f t="shared" si="3"/>
        <v>8692742600</v>
      </c>
      <c r="R34" s="11">
        <f t="shared" si="3"/>
        <v>8840639250</v>
      </c>
      <c r="S34" s="11">
        <f t="shared" si="3"/>
        <v>6648094550</v>
      </c>
      <c r="T34" s="11">
        <f t="shared" si="3"/>
        <v>7494290100</v>
      </c>
      <c r="U34" s="11">
        <f t="shared" si="3"/>
        <v>7742501910</v>
      </c>
      <c r="V34" s="11">
        <f t="shared" si="3"/>
        <v>8014271150</v>
      </c>
      <c r="W34" s="11">
        <f t="shared" si="3"/>
        <v>9101644850</v>
      </c>
      <c r="X34" s="11">
        <f t="shared" si="3"/>
        <v>8772025950</v>
      </c>
      <c r="Y34" s="11">
        <f t="shared" si="3"/>
        <v>8655221500</v>
      </c>
      <c r="Z34" s="11">
        <f t="shared" si="3"/>
        <v>7895198350</v>
      </c>
      <c r="AA34" s="11">
        <f t="shared" si="3"/>
        <v>8893222620</v>
      </c>
      <c r="AB34" s="11">
        <f t="shared" si="3"/>
        <v>8309746750</v>
      </c>
      <c r="AC34" s="11">
        <f t="shared" si="3"/>
        <v>9956609850</v>
      </c>
      <c r="AD34" s="11">
        <f t="shared" si="3"/>
        <v>10212231400</v>
      </c>
      <c r="AE34" s="11">
        <f t="shared" si="3"/>
        <v>7494900050</v>
      </c>
      <c r="AF34" s="11">
        <f t="shared" si="3"/>
        <v>9080923950</v>
      </c>
      <c r="AG34" s="11">
        <f t="shared" si="3"/>
        <v>7653077300</v>
      </c>
      <c r="AH34" s="11">
        <f t="shared" si="3"/>
        <v>0</v>
      </c>
      <c r="AI34" s="11">
        <f t="shared" si="3"/>
        <v>0</v>
      </c>
      <c r="AJ34" s="11">
        <f t="shared" si="3"/>
        <v>0</v>
      </c>
      <c r="AK34" s="11">
        <f t="shared" si="3"/>
        <v>0</v>
      </c>
      <c r="AL34" s="11">
        <f t="shared" si="3"/>
        <v>0</v>
      </c>
      <c r="AM34" s="11">
        <f t="shared" si="3"/>
        <v>0</v>
      </c>
      <c r="AN34" s="11">
        <f t="shared" si="3"/>
        <v>0</v>
      </c>
      <c r="AO34" s="11">
        <f t="shared" si="3"/>
        <v>10712227100</v>
      </c>
      <c r="AP34" s="11">
        <f t="shared" si="3"/>
        <v>10900716700</v>
      </c>
      <c r="AQ34" s="11">
        <f t="shared" si="3"/>
        <v>7991321800</v>
      </c>
      <c r="AR34" s="11">
        <f t="shared" si="3"/>
        <v>9035120400</v>
      </c>
      <c r="AS34" s="11">
        <f t="shared" si="3"/>
        <v>9784502550</v>
      </c>
      <c r="AT34" s="11">
        <f t="shared" si="3"/>
        <v>8738282400</v>
      </c>
      <c r="AU34" s="11">
        <f t="shared" si="3"/>
        <v>10207107850</v>
      </c>
      <c r="AV34" s="11">
        <f t="shared" si="3"/>
        <v>10809674100</v>
      </c>
      <c r="AW34" s="11">
        <f t="shared" si="3"/>
        <v>9887201300</v>
      </c>
      <c r="AX34" s="11">
        <f t="shared" si="3"/>
        <v>8943356950</v>
      </c>
      <c r="AY34" s="11">
        <f t="shared" si="3"/>
        <v>10187311000</v>
      </c>
      <c r="AZ34" s="11">
        <f t="shared" si="3"/>
        <v>9504201700</v>
      </c>
      <c r="BA34" s="11">
        <f t="shared" si="3"/>
        <v>11582901000</v>
      </c>
      <c r="BB34" s="11">
        <f t="shared" si="3"/>
        <v>11473555150</v>
      </c>
      <c r="BC34" s="11">
        <f t="shared" si="3"/>
        <v>8334228250</v>
      </c>
      <c r="BD34" s="11">
        <f t="shared" si="3"/>
        <v>10483539350</v>
      </c>
      <c r="BE34" s="11">
        <f t="shared" si="3"/>
        <v>9025058400</v>
      </c>
      <c r="BF34" s="11">
        <f t="shared" si="3"/>
        <v>9176275100</v>
      </c>
      <c r="BG34" s="11">
        <f t="shared" si="3"/>
        <v>10749071700</v>
      </c>
      <c r="BH34" s="11">
        <f t="shared" si="3"/>
        <v>11104599950</v>
      </c>
      <c r="BI34" s="11">
        <f t="shared" si="3"/>
        <v>10383853800</v>
      </c>
      <c r="BJ34" s="11">
        <f t="shared" si="3"/>
        <v>9485357000</v>
      </c>
      <c r="BK34" s="11">
        <f t="shared" si="3"/>
        <v>10963737750</v>
      </c>
      <c r="BL34" s="11">
        <f t="shared" si="3"/>
        <v>10395196700</v>
      </c>
      <c r="BM34" s="11">
        <f t="shared" si="3"/>
        <v>12012935850</v>
      </c>
    </row>
    <row r="35" spans="1:65" x14ac:dyDescent="0.25">
      <c r="A35" s="1">
        <v>40</v>
      </c>
      <c r="B35" s="1">
        <f>VLOOKUP(E35,'[2]Peajes (1)'!$A:$D,4,0)</f>
        <v>5204</v>
      </c>
      <c r="C35" s="3" t="s">
        <v>59</v>
      </c>
      <c r="D35" s="3" t="s">
        <v>60</v>
      </c>
      <c r="E35" s="3" t="s">
        <v>63</v>
      </c>
      <c r="F35" s="4">
        <v>1962884500</v>
      </c>
      <c r="G35" s="4">
        <v>1806074100</v>
      </c>
      <c r="H35" s="4">
        <v>1896298700</v>
      </c>
      <c r="I35" s="4">
        <v>1881138300</v>
      </c>
      <c r="J35" s="4">
        <v>1930757800</v>
      </c>
      <c r="K35" s="4">
        <v>1865100500</v>
      </c>
      <c r="L35" s="4">
        <v>2037203800</v>
      </c>
      <c r="M35" s="4">
        <v>2064753200</v>
      </c>
      <c r="N35" s="4">
        <v>1954401600</v>
      </c>
      <c r="O35" s="4">
        <v>2052171700</v>
      </c>
      <c r="P35" s="4">
        <v>1941588600</v>
      </c>
      <c r="Q35" s="4">
        <v>2316644400</v>
      </c>
      <c r="R35" s="4">
        <v>2118719400</v>
      </c>
      <c r="S35" s="4">
        <v>1946009200</v>
      </c>
      <c r="T35" s="4">
        <v>2084637400</v>
      </c>
      <c r="U35" s="4">
        <v>2113054400</v>
      </c>
      <c r="V35" s="4">
        <v>2026952600</v>
      </c>
      <c r="W35" s="4">
        <v>2026763400</v>
      </c>
      <c r="X35" s="4">
        <v>2170788550</v>
      </c>
      <c r="Y35" s="4">
        <v>2181945800</v>
      </c>
      <c r="Z35" s="4">
        <v>2086097550</v>
      </c>
      <c r="AA35" s="4">
        <v>2245627850</v>
      </c>
      <c r="AB35" s="4">
        <v>2101427100</v>
      </c>
      <c r="AC35" s="4">
        <v>2408310700</v>
      </c>
      <c r="AD35" s="4">
        <v>2226479650</v>
      </c>
      <c r="AE35" s="4">
        <v>2115899600</v>
      </c>
      <c r="AF35" s="4">
        <v>2254341200</v>
      </c>
      <c r="AG35" s="4">
        <v>2181987600</v>
      </c>
      <c r="AH35" s="4">
        <v>2284038900</v>
      </c>
      <c r="AI35" s="4">
        <v>2265038800</v>
      </c>
      <c r="AJ35" s="4">
        <v>2430063100</v>
      </c>
      <c r="AK35" s="4">
        <v>2477328200</v>
      </c>
      <c r="AL35" s="4">
        <v>2336541000</v>
      </c>
      <c r="AM35" s="4">
        <v>2410318200</v>
      </c>
      <c r="AN35" s="4">
        <v>2375718100</v>
      </c>
      <c r="AO35" s="4">
        <v>2729016900</v>
      </c>
      <c r="AP35" s="4">
        <v>2594058900</v>
      </c>
      <c r="AQ35" s="4">
        <v>2378669000</v>
      </c>
      <c r="AR35" s="4">
        <v>2577830200</v>
      </c>
      <c r="AS35" s="4">
        <v>2458036900</v>
      </c>
      <c r="AT35" s="4">
        <v>2658571420</v>
      </c>
      <c r="AU35" s="4">
        <v>2578916300</v>
      </c>
      <c r="AV35" s="4">
        <v>2747982600</v>
      </c>
      <c r="AW35" s="4">
        <v>2745261500</v>
      </c>
      <c r="AX35" s="4">
        <v>2557455200</v>
      </c>
      <c r="AY35" s="4">
        <v>2596735300</v>
      </c>
      <c r="AZ35" s="4">
        <v>2579101900</v>
      </c>
      <c r="BA35" s="4">
        <v>3053687900</v>
      </c>
      <c r="BB35" s="4">
        <v>2762069500</v>
      </c>
      <c r="BC35" s="4">
        <v>2536016300</v>
      </c>
      <c r="BD35" s="4">
        <v>2716234400</v>
      </c>
      <c r="BE35" s="4">
        <v>2713239800</v>
      </c>
      <c r="BF35" s="4">
        <v>2805829900</v>
      </c>
      <c r="BG35" s="4">
        <v>2798393300</v>
      </c>
      <c r="BH35" s="4">
        <v>2924671500</v>
      </c>
      <c r="BI35" s="4">
        <v>2991994800</v>
      </c>
      <c r="BJ35" s="4">
        <v>2858552900</v>
      </c>
      <c r="BK35" s="4">
        <v>2955686500</v>
      </c>
      <c r="BL35" s="4">
        <v>0</v>
      </c>
      <c r="BM35" s="4">
        <v>0</v>
      </c>
    </row>
    <row r="36" spans="1:65" x14ac:dyDescent="0.25">
      <c r="A36" s="1">
        <v>1</v>
      </c>
      <c r="B36" s="1">
        <f>VLOOKUP(E36,'[2]Peajes (1)'!$A:$D,4,0)</f>
        <v>3866</v>
      </c>
      <c r="C36" s="3" t="s">
        <v>4</v>
      </c>
      <c r="D36" s="3" t="s">
        <v>5</v>
      </c>
      <c r="E36" s="3" t="s">
        <v>6</v>
      </c>
      <c r="F36" s="4">
        <v>2704524900</v>
      </c>
      <c r="G36" s="4">
        <v>2035905100</v>
      </c>
      <c r="H36" s="4">
        <v>2272609600</v>
      </c>
      <c r="I36" s="4">
        <v>2488712400</v>
      </c>
      <c r="J36" s="4">
        <v>2287160650</v>
      </c>
      <c r="K36" s="4">
        <v>2347601800</v>
      </c>
      <c r="L36" s="4">
        <v>2437008500</v>
      </c>
      <c r="M36" s="4">
        <v>2557138800</v>
      </c>
      <c r="N36" s="4">
        <v>2287042950</v>
      </c>
      <c r="O36" s="4">
        <v>2550642300</v>
      </c>
      <c r="P36" s="4">
        <v>2482025650</v>
      </c>
      <c r="Q36" s="4">
        <v>2972040000</v>
      </c>
      <c r="R36" s="4">
        <v>3057794000</v>
      </c>
      <c r="S36" s="4">
        <v>2240890850</v>
      </c>
      <c r="T36" s="4">
        <v>2558809950</v>
      </c>
      <c r="U36" s="4">
        <v>2644417850</v>
      </c>
      <c r="V36" s="4">
        <v>2620409350</v>
      </c>
      <c r="W36" s="4">
        <v>2753388250</v>
      </c>
      <c r="X36" s="4">
        <v>2881200500</v>
      </c>
      <c r="Y36" s="4">
        <v>2817046700</v>
      </c>
      <c r="Z36" s="4">
        <v>2569325750</v>
      </c>
      <c r="AA36" s="4">
        <v>2800190500</v>
      </c>
      <c r="AB36" s="4">
        <v>2711455300</v>
      </c>
      <c r="AC36" s="4">
        <v>3364985100</v>
      </c>
      <c r="AD36" s="4">
        <v>3614918500</v>
      </c>
      <c r="AE36" s="4">
        <v>2675283600</v>
      </c>
      <c r="AF36" s="4">
        <v>3233860750</v>
      </c>
      <c r="AG36" s="4">
        <v>2725188800</v>
      </c>
      <c r="AH36" s="4">
        <v>2984502550</v>
      </c>
      <c r="AI36" s="4">
        <v>3021552700</v>
      </c>
      <c r="AJ36" s="4">
        <v>3220751150</v>
      </c>
      <c r="AK36" s="4">
        <v>3204525450</v>
      </c>
      <c r="AL36" s="4">
        <v>2906311100</v>
      </c>
      <c r="AM36" s="4">
        <v>3222635250</v>
      </c>
      <c r="AN36" s="4">
        <v>3113659120</v>
      </c>
      <c r="AO36" s="4">
        <v>3675874300</v>
      </c>
      <c r="AP36" s="4">
        <v>3953163400</v>
      </c>
      <c r="AQ36" s="4">
        <v>2888930300</v>
      </c>
      <c r="AR36" s="4">
        <v>3176046650</v>
      </c>
      <c r="AS36" s="4">
        <v>3453043050</v>
      </c>
      <c r="AT36" s="4">
        <v>3159697000</v>
      </c>
      <c r="AU36" s="4">
        <v>3384741200</v>
      </c>
      <c r="AV36" s="4">
        <v>3562876200</v>
      </c>
      <c r="AW36" s="4">
        <v>3476868900</v>
      </c>
      <c r="AX36" s="4">
        <v>3195157400</v>
      </c>
      <c r="AY36" s="4">
        <v>3517923370</v>
      </c>
      <c r="AZ36" s="4">
        <v>3441269350</v>
      </c>
      <c r="BA36" s="4">
        <v>4130670750</v>
      </c>
      <c r="BB36" s="4">
        <v>4267344100</v>
      </c>
      <c r="BC36" s="4">
        <v>3116539000</v>
      </c>
      <c r="BD36" s="4">
        <v>3802843200</v>
      </c>
      <c r="BE36" s="4">
        <v>3356896500</v>
      </c>
      <c r="BF36" s="4">
        <v>3410025000</v>
      </c>
      <c r="BG36" s="4">
        <v>3051586300</v>
      </c>
      <c r="BH36" s="4">
        <v>3868945900</v>
      </c>
      <c r="BI36" s="4">
        <v>3771508400</v>
      </c>
      <c r="BJ36" s="4">
        <v>3540187200</v>
      </c>
      <c r="BK36" s="4">
        <v>3772124800</v>
      </c>
      <c r="BL36" s="4">
        <v>3679215050</v>
      </c>
      <c r="BM36" s="4">
        <v>4494666650</v>
      </c>
    </row>
    <row r="37" spans="1:65" x14ac:dyDescent="0.25">
      <c r="A37" s="1">
        <v>95</v>
      </c>
      <c r="B37" s="1">
        <f>VLOOKUP(E37,'[2]Peajes (1)'!$A:$D,4,0)</f>
        <v>10406</v>
      </c>
      <c r="C37" s="3" t="s">
        <v>137</v>
      </c>
      <c r="D37" s="3" t="s">
        <v>138</v>
      </c>
      <c r="E37" s="3" t="s">
        <v>139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546297500</v>
      </c>
      <c r="BL37" s="4">
        <v>481800000</v>
      </c>
      <c r="BM37" s="4">
        <v>567010300</v>
      </c>
    </row>
    <row r="38" spans="1:65" x14ac:dyDescent="0.25">
      <c r="A38" s="1">
        <v>140</v>
      </c>
      <c r="B38" s="1">
        <f>VLOOKUP(E38,'[2]Peajes (1)'!$A:$D,4,0)</f>
        <v>3961</v>
      </c>
      <c r="C38" s="3" t="s">
        <v>205</v>
      </c>
      <c r="D38" s="3" t="s">
        <v>206</v>
      </c>
      <c r="E38" s="3" t="s">
        <v>207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>
        <v>0</v>
      </c>
      <c r="AE38" s="4">
        <v>0</v>
      </c>
      <c r="AF38" s="4">
        <v>0</v>
      </c>
      <c r="AG38" s="4">
        <v>172899900</v>
      </c>
      <c r="AH38" s="4">
        <v>413543200</v>
      </c>
      <c r="AI38" s="4">
        <v>437250400</v>
      </c>
      <c r="AJ38" s="4">
        <v>438940500</v>
      </c>
      <c r="AK38" s="4">
        <v>452540000</v>
      </c>
      <c r="AL38" s="4">
        <v>406750050</v>
      </c>
      <c r="AM38" s="4">
        <v>464692300</v>
      </c>
      <c r="AN38" s="4">
        <v>453232600</v>
      </c>
      <c r="AO38" s="4">
        <v>547389550</v>
      </c>
      <c r="AP38" s="4">
        <v>628000200</v>
      </c>
      <c r="AQ38" s="4">
        <v>415602700</v>
      </c>
      <c r="AR38" s="4">
        <v>462502700</v>
      </c>
      <c r="AS38" s="4">
        <v>487534600</v>
      </c>
      <c r="AT38" s="4">
        <v>461183000</v>
      </c>
      <c r="AU38" s="4">
        <v>476318400</v>
      </c>
      <c r="AV38" s="4">
        <v>492105900</v>
      </c>
      <c r="AW38" s="4">
        <v>474419800</v>
      </c>
      <c r="AX38" s="4">
        <v>438298950</v>
      </c>
      <c r="AY38" s="4">
        <v>488346800</v>
      </c>
      <c r="AZ38" s="4">
        <v>470879200</v>
      </c>
      <c r="BA38" s="4">
        <v>593596300</v>
      </c>
      <c r="BB38" s="4">
        <v>605354200</v>
      </c>
      <c r="BC38" s="4">
        <v>444387600</v>
      </c>
      <c r="BD38" s="4">
        <v>528228700</v>
      </c>
      <c r="BE38" s="4">
        <v>498864700</v>
      </c>
      <c r="BF38" s="4">
        <v>511856900</v>
      </c>
      <c r="BG38" s="4">
        <v>611131600</v>
      </c>
      <c r="BH38" s="4">
        <v>563140200</v>
      </c>
      <c r="BI38" s="4">
        <v>532323400</v>
      </c>
      <c r="BJ38" s="4">
        <v>523584600</v>
      </c>
      <c r="BK38" s="4">
        <v>564433200</v>
      </c>
      <c r="BL38" s="4">
        <v>514702800</v>
      </c>
      <c r="BM38" s="4">
        <v>624989000</v>
      </c>
    </row>
    <row r="39" spans="1:65" x14ac:dyDescent="0.25">
      <c r="A39" s="1">
        <v>20</v>
      </c>
      <c r="B39" s="1">
        <f>VLOOKUP(E39,'[2]Peajes (1)'!$A:$D,4,0)</f>
        <v>3861</v>
      </c>
      <c r="C39" s="3" t="s">
        <v>31</v>
      </c>
      <c r="D39" s="3" t="s">
        <v>32</v>
      </c>
      <c r="E39" s="3" t="s">
        <v>33</v>
      </c>
      <c r="F39" s="4">
        <v>2059887600</v>
      </c>
      <c r="G39" s="4">
        <v>1575614600</v>
      </c>
      <c r="H39" s="4">
        <v>1736442300</v>
      </c>
      <c r="I39" s="4">
        <v>1829849500</v>
      </c>
      <c r="J39" s="4">
        <v>1804480500</v>
      </c>
      <c r="K39" s="4">
        <v>1815856300</v>
      </c>
      <c r="L39" s="4">
        <v>1910498400</v>
      </c>
      <c r="M39" s="4">
        <v>1908771600</v>
      </c>
      <c r="N39" s="4">
        <v>1832985400</v>
      </c>
      <c r="O39" s="4">
        <v>1962262600</v>
      </c>
      <c r="P39" s="4">
        <v>1887390400</v>
      </c>
      <c r="Q39" s="4">
        <v>2271126800</v>
      </c>
      <c r="R39" s="4">
        <v>2440808100</v>
      </c>
      <c r="S39" s="4">
        <v>1914147600</v>
      </c>
      <c r="T39" s="4">
        <v>1960206200</v>
      </c>
      <c r="U39" s="4">
        <v>2050303900</v>
      </c>
      <c r="V39" s="4">
        <v>2026790200</v>
      </c>
      <c r="W39" s="4">
        <v>2188993200</v>
      </c>
      <c r="X39" s="4">
        <v>2231208700</v>
      </c>
      <c r="Y39" s="4">
        <v>2215237200</v>
      </c>
      <c r="Z39" s="4">
        <v>2062591200</v>
      </c>
      <c r="AA39" s="4">
        <v>2312999200</v>
      </c>
      <c r="AB39" s="4">
        <v>2203142800</v>
      </c>
      <c r="AC39" s="4">
        <v>2621008200</v>
      </c>
      <c r="AD39" s="4">
        <v>2881114300</v>
      </c>
      <c r="AE39" s="4">
        <v>2202890300</v>
      </c>
      <c r="AF39" s="4">
        <v>2525151600</v>
      </c>
      <c r="AG39" s="4">
        <v>2179348900</v>
      </c>
      <c r="AH39" s="4">
        <v>2311119100</v>
      </c>
      <c r="AI39" s="4">
        <v>2241534300</v>
      </c>
      <c r="AJ39" s="4">
        <v>2075454500</v>
      </c>
      <c r="AK39" s="4">
        <v>2659718200</v>
      </c>
      <c r="AL39" s="4">
        <v>2332188600</v>
      </c>
      <c r="AM39" s="4">
        <v>2594435300</v>
      </c>
      <c r="AN39" s="4">
        <v>2616115400</v>
      </c>
      <c r="AO39" s="4">
        <v>2995828600</v>
      </c>
      <c r="AP39" s="4">
        <v>3056164100</v>
      </c>
      <c r="AQ39" s="4">
        <v>2518718400</v>
      </c>
      <c r="AR39" s="4">
        <v>2666404200</v>
      </c>
      <c r="AS39" s="4">
        <v>2780284500</v>
      </c>
      <c r="AT39" s="4">
        <v>2724550300</v>
      </c>
      <c r="AU39" s="4">
        <v>2880396000</v>
      </c>
      <c r="AV39" s="4">
        <v>2967331700</v>
      </c>
      <c r="AW39" s="4">
        <v>3022298800</v>
      </c>
      <c r="AX39" s="4">
        <v>2714200700</v>
      </c>
      <c r="AY39" s="4">
        <v>2978141400</v>
      </c>
      <c r="AZ39" s="4">
        <v>2986200300</v>
      </c>
      <c r="BA39" s="4">
        <v>3379519800</v>
      </c>
      <c r="BB39" s="4">
        <v>3688295900</v>
      </c>
      <c r="BC39" s="4">
        <v>2777453500</v>
      </c>
      <c r="BD39" s="4">
        <v>3150096600</v>
      </c>
      <c r="BE39" s="4">
        <v>2954775000</v>
      </c>
      <c r="BF39" s="4">
        <v>2842038700</v>
      </c>
      <c r="BG39" s="4">
        <v>3058124300</v>
      </c>
      <c r="BH39" s="4">
        <v>3225318900</v>
      </c>
      <c r="BI39" s="4">
        <v>3251137300</v>
      </c>
      <c r="BJ39" s="4">
        <v>0</v>
      </c>
      <c r="BK39" s="4">
        <v>0</v>
      </c>
      <c r="BL39" s="4">
        <v>0</v>
      </c>
      <c r="BM39" s="4">
        <v>0</v>
      </c>
    </row>
    <row r="40" spans="1:65" x14ac:dyDescent="0.25">
      <c r="A40" s="1">
        <v>2</v>
      </c>
      <c r="B40" s="1">
        <f>VLOOKUP(E40,'[2]Peajes (1)'!$A:$D,4,0)</f>
        <v>3840</v>
      </c>
      <c r="C40" s="3" t="s">
        <v>4</v>
      </c>
      <c r="D40" s="3" t="s">
        <v>5</v>
      </c>
      <c r="E40" s="3" t="s">
        <v>7</v>
      </c>
      <c r="F40" s="4">
        <v>2991480000</v>
      </c>
      <c r="G40" s="4">
        <v>2511528550</v>
      </c>
      <c r="H40" s="4">
        <v>2789494550</v>
      </c>
      <c r="I40" s="4">
        <v>2865612100</v>
      </c>
      <c r="J40" s="4">
        <v>2853370250</v>
      </c>
      <c r="K40" s="4">
        <v>2749758550</v>
      </c>
      <c r="L40" s="4">
        <v>3037759500</v>
      </c>
      <c r="M40" s="4">
        <v>2981873150</v>
      </c>
      <c r="N40" s="4">
        <v>2830414100</v>
      </c>
      <c r="O40" s="4">
        <v>2909024200</v>
      </c>
      <c r="P40" s="4">
        <v>2840880400</v>
      </c>
      <c r="Q40" s="4">
        <v>3078244600</v>
      </c>
      <c r="R40" s="4">
        <v>3233919600</v>
      </c>
      <c r="S40" s="4">
        <v>2813913800</v>
      </c>
      <c r="T40" s="4">
        <v>2824500100</v>
      </c>
      <c r="U40" s="4">
        <v>3058501200</v>
      </c>
      <c r="V40" s="4">
        <v>3028381600</v>
      </c>
      <c r="W40" s="4">
        <v>2973713850</v>
      </c>
      <c r="X40" s="4">
        <v>3190535600</v>
      </c>
      <c r="Y40" s="4">
        <v>3035243200</v>
      </c>
      <c r="Z40" s="4">
        <v>2949134750</v>
      </c>
      <c r="AA40" s="4">
        <v>3062102650</v>
      </c>
      <c r="AB40" s="4">
        <v>2909117750</v>
      </c>
      <c r="AC40" s="4">
        <v>3280280700</v>
      </c>
      <c r="AD40" s="4">
        <v>3565459400</v>
      </c>
      <c r="AE40" s="4">
        <v>2899965050</v>
      </c>
      <c r="AF40" s="4">
        <v>3322409400</v>
      </c>
      <c r="AG40" s="4">
        <v>3068723250</v>
      </c>
      <c r="AH40" s="4">
        <v>3230205400</v>
      </c>
      <c r="AI40" s="4">
        <v>2984891300</v>
      </c>
      <c r="AJ40" s="4">
        <v>2950556850</v>
      </c>
      <c r="AK40" s="4">
        <v>3731114500</v>
      </c>
      <c r="AL40" s="4">
        <v>3307348950</v>
      </c>
      <c r="AM40" s="4">
        <v>3392264650</v>
      </c>
      <c r="AN40" s="4">
        <v>3321513100</v>
      </c>
      <c r="AO40" s="4">
        <v>3637281950</v>
      </c>
      <c r="AP40" s="4">
        <v>3736296200</v>
      </c>
      <c r="AQ40" s="4">
        <v>3041001950</v>
      </c>
      <c r="AR40" s="4">
        <v>3217368250</v>
      </c>
      <c r="AS40" s="4">
        <v>3438924750</v>
      </c>
      <c r="AT40" s="4">
        <v>2821558350</v>
      </c>
      <c r="AU40" s="4">
        <v>3531966900</v>
      </c>
      <c r="AV40" s="4">
        <v>3687118300</v>
      </c>
      <c r="AW40" s="4">
        <v>3539821600</v>
      </c>
      <c r="AX40" s="4">
        <v>3391085150</v>
      </c>
      <c r="AY40" s="4">
        <v>3557265000</v>
      </c>
      <c r="AZ40" s="4">
        <v>3374160450</v>
      </c>
      <c r="BA40" s="4">
        <v>3664264400</v>
      </c>
      <c r="BB40" s="4">
        <v>3892552950</v>
      </c>
      <c r="BC40" s="4">
        <v>3196588900</v>
      </c>
      <c r="BD40" s="4">
        <v>3578435500</v>
      </c>
      <c r="BE40" s="4">
        <v>3420228150</v>
      </c>
      <c r="BF40" s="4">
        <v>3451471000</v>
      </c>
      <c r="BG40" s="4">
        <v>3089045850</v>
      </c>
      <c r="BH40" s="4">
        <v>3780860150</v>
      </c>
      <c r="BI40" s="4">
        <v>3777690800</v>
      </c>
      <c r="BJ40" s="4">
        <v>3626748800</v>
      </c>
      <c r="BK40" s="4">
        <v>3909313050</v>
      </c>
      <c r="BL40" s="4">
        <v>3704525800</v>
      </c>
      <c r="BM40" s="4">
        <v>3908438450</v>
      </c>
    </row>
    <row r="41" spans="1:65" x14ac:dyDescent="0.25">
      <c r="A41" s="1">
        <v>24</v>
      </c>
      <c r="B41" s="1">
        <f>VLOOKUP(E41,'[2]Peajes (1)'!$A:$D,4,0)</f>
        <v>3966</v>
      </c>
      <c r="C41" s="3" t="s">
        <v>37</v>
      </c>
      <c r="D41" s="3" t="s">
        <v>38</v>
      </c>
      <c r="E41" s="3" t="s">
        <v>239</v>
      </c>
      <c r="F41" s="4">
        <v>2080560700</v>
      </c>
      <c r="G41" s="4">
        <v>1789790300</v>
      </c>
      <c r="H41" s="4">
        <v>2049383000</v>
      </c>
      <c r="I41" s="4">
        <v>2048695900</v>
      </c>
      <c r="J41" s="4">
        <v>1872686200</v>
      </c>
      <c r="K41" s="4">
        <v>1962021200</v>
      </c>
      <c r="L41" s="4">
        <v>2112102800</v>
      </c>
      <c r="M41" s="4">
        <v>2119572800</v>
      </c>
      <c r="N41" s="4">
        <v>2025233800</v>
      </c>
      <c r="O41" s="4">
        <v>2120655300</v>
      </c>
      <c r="P41" s="4">
        <v>1911514500</v>
      </c>
      <c r="Q41" s="4">
        <v>2121875600</v>
      </c>
      <c r="R41" s="4">
        <v>2171104400</v>
      </c>
      <c r="S41" s="4">
        <v>1964732900</v>
      </c>
      <c r="T41" s="4">
        <v>2094923300</v>
      </c>
      <c r="U41" s="4">
        <v>2112140000</v>
      </c>
      <c r="V41" s="4">
        <v>2214933600</v>
      </c>
      <c r="W41" s="4">
        <v>2187814000</v>
      </c>
      <c r="X41" s="4">
        <v>2401519100</v>
      </c>
      <c r="Y41" s="4">
        <v>2370372800</v>
      </c>
      <c r="Z41" s="4">
        <v>2282743400</v>
      </c>
      <c r="AA41" s="4">
        <v>2365862500</v>
      </c>
      <c r="AB41" s="4">
        <v>2239252500</v>
      </c>
      <c r="AC41" s="4">
        <v>2385900600</v>
      </c>
      <c r="AD41" s="4">
        <v>2511709000</v>
      </c>
      <c r="AE41" s="4">
        <v>2267016000</v>
      </c>
      <c r="AF41" s="4">
        <v>2338730700</v>
      </c>
      <c r="AG41" s="4">
        <v>2276830300</v>
      </c>
      <c r="AH41" s="4">
        <v>2355862100</v>
      </c>
      <c r="AI41" s="4">
        <v>2278792600</v>
      </c>
      <c r="AJ41" s="4">
        <v>2214267200</v>
      </c>
      <c r="AK41" s="4">
        <v>2443266600</v>
      </c>
      <c r="AL41" s="4">
        <v>2347396300</v>
      </c>
      <c r="AM41" s="4">
        <v>2460320800</v>
      </c>
      <c r="AN41" s="4">
        <v>2338463600</v>
      </c>
      <c r="AO41" s="4">
        <v>2473830200</v>
      </c>
      <c r="AP41" s="4">
        <v>2593491000</v>
      </c>
      <c r="AQ41" s="4">
        <v>2319924700</v>
      </c>
      <c r="AR41" s="4">
        <v>2524187200</v>
      </c>
      <c r="AS41" s="4">
        <v>2448345200</v>
      </c>
      <c r="AT41" s="4">
        <v>2529877800</v>
      </c>
      <c r="AU41" s="4">
        <v>2484071500</v>
      </c>
      <c r="AV41" s="4">
        <v>2601978700</v>
      </c>
      <c r="AW41" s="4">
        <v>2542840800</v>
      </c>
      <c r="AX41" s="4">
        <v>2401209400</v>
      </c>
      <c r="AY41" s="4">
        <v>2545815900</v>
      </c>
      <c r="AZ41" s="4">
        <v>2457966100</v>
      </c>
      <c r="BA41" s="4">
        <v>2590559700</v>
      </c>
      <c r="BB41" s="4">
        <v>2691786700</v>
      </c>
      <c r="BC41" s="4">
        <v>2345311200</v>
      </c>
      <c r="BD41" s="4">
        <v>2619390200</v>
      </c>
      <c r="BE41" s="4">
        <v>2325533500</v>
      </c>
      <c r="BF41" s="4">
        <v>2585954650</v>
      </c>
      <c r="BG41" s="4">
        <v>2554891000</v>
      </c>
      <c r="BH41" s="4">
        <v>2742124100</v>
      </c>
      <c r="BI41" s="4">
        <v>2684811300</v>
      </c>
      <c r="BJ41" s="4">
        <v>2626786600</v>
      </c>
      <c r="BK41" s="4">
        <v>2758442600</v>
      </c>
      <c r="BL41" s="4">
        <v>2676401500</v>
      </c>
      <c r="BM41" s="4">
        <v>2799657500</v>
      </c>
    </row>
    <row r="42" spans="1:65" x14ac:dyDescent="0.25">
      <c r="A42" s="1">
        <v>153</v>
      </c>
      <c r="B42" s="1">
        <f>VLOOKUP(E42,'[2]Peajes (1)'!$A:$D,4,0)</f>
        <v>3986</v>
      </c>
      <c r="C42" s="3" t="s">
        <v>228</v>
      </c>
      <c r="D42" s="3" t="s">
        <v>229</v>
      </c>
      <c r="E42" s="3" t="s">
        <v>251</v>
      </c>
      <c r="F42" s="4">
        <v>1565550350</v>
      </c>
      <c r="G42" s="4">
        <v>1102532350</v>
      </c>
      <c r="H42" s="4">
        <v>1151223100</v>
      </c>
      <c r="I42" s="4">
        <v>1322044750</v>
      </c>
      <c r="J42" s="4">
        <v>1760723700</v>
      </c>
      <c r="K42" s="4">
        <v>1384149450</v>
      </c>
      <c r="L42" s="4">
        <v>1242900700</v>
      </c>
      <c r="M42" s="4">
        <v>1227180900</v>
      </c>
      <c r="N42" s="4">
        <v>1146471700</v>
      </c>
      <c r="O42" s="4">
        <v>1321488800</v>
      </c>
      <c r="P42" s="4">
        <v>1395271750</v>
      </c>
      <c r="Q42" s="4">
        <v>1493663700</v>
      </c>
      <c r="R42" s="4">
        <v>1610197500</v>
      </c>
      <c r="S42" s="4">
        <v>1115571650</v>
      </c>
      <c r="T42" s="4">
        <v>1207389550</v>
      </c>
      <c r="U42" s="4">
        <v>1351913750</v>
      </c>
      <c r="V42" s="4">
        <v>1251938600</v>
      </c>
      <c r="W42" s="4">
        <v>1350623750</v>
      </c>
      <c r="X42" s="4">
        <v>1390241500</v>
      </c>
      <c r="Y42" s="4">
        <v>1321960100</v>
      </c>
      <c r="Z42" s="4">
        <v>1242209000</v>
      </c>
      <c r="AA42" s="4">
        <v>1437008300</v>
      </c>
      <c r="AB42" s="4">
        <v>1359750700</v>
      </c>
      <c r="AC42" s="4">
        <v>1604932300</v>
      </c>
      <c r="AD42" s="4">
        <v>1736713600</v>
      </c>
      <c r="AE42" s="4">
        <v>1222291800</v>
      </c>
      <c r="AF42" s="4">
        <v>1513059500</v>
      </c>
      <c r="AG42" s="4">
        <v>1213525900</v>
      </c>
      <c r="AH42" s="4">
        <v>1323982000</v>
      </c>
      <c r="AI42" s="4">
        <v>1254103500</v>
      </c>
      <c r="AJ42" s="4">
        <v>1149866500</v>
      </c>
      <c r="AK42" s="4">
        <v>1369615200</v>
      </c>
      <c r="AL42" s="4">
        <v>1277577400</v>
      </c>
      <c r="AM42" s="4">
        <v>1423756400</v>
      </c>
      <c r="AN42" s="4">
        <v>1419710700</v>
      </c>
      <c r="AO42" s="4">
        <v>1646457200</v>
      </c>
      <c r="AP42" s="4">
        <v>1800792800</v>
      </c>
      <c r="AQ42" s="4">
        <v>1255855400</v>
      </c>
      <c r="AR42" s="4">
        <v>1393241200</v>
      </c>
      <c r="AS42" s="4">
        <v>1556269700</v>
      </c>
      <c r="AT42" s="4">
        <v>1385312800</v>
      </c>
      <c r="AU42" s="4">
        <v>1469882400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</row>
    <row r="43" spans="1:65" x14ac:dyDescent="0.25">
      <c r="A43" s="1">
        <v>68</v>
      </c>
      <c r="B43" s="1">
        <f>VLOOKUP(E43,'[2]Peajes (1)'!$A:$D,4,0)</f>
        <v>3865</v>
      </c>
      <c r="C43" s="3" t="s">
        <v>95</v>
      </c>
      <c r="D43" s="3" t="s">
        <v>96</v>
      </c>
      <c r="E43" s="3" t="s">
        <v>98</v>
      </c>
      <c r="F43" s="4">
        <v>815553100</v>
      </c>
      <c r="G43" s="4">
        <v>698849800</v>
      </c>
      <c r="H43" s="4">
        <v>756269200</v>
      </c>
      <c r="I43" s="4">
        <v>781061000</v>
      </c>
      <c r="J43" s="4">
        <v>747915600</v>
      </c>
      <c r="K43" s="4">
        <v>772548600</v>
      </c>
      <c r="L43" s="4">
        <v>851262300</v>
      </c>
      <c r="M43" s="4">
        <v>842287700</v>
      </c>
      <c r="N43" s="4">
        <v>769655600</v>
      </c>
      <c r="O43" s="4">
        <v>822308800</v>
      </c>
      <c r="P43" s="4">
        <v>822130300</v>
      </c>
      <c r="Q43" s="4">
        <v>889248500</v>
      </c>
      <c r="R43" s="4">
        <v>924496800</v>
      </c>
      <c r="S43" s="4">
        <v>760467900</v>
      </c>
      <c r="T43" s="4">
        <v>763705700</v>
      </c>
      <c r="U43" s="4">
        <v>862431000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</row>
    <row r="44" spans="1:65" x14ac:dyDescent="0.25">
      <c r="A44" s="1">
        <v>144</v>
      </c>
      <c r="B44" s="1">
        <f>VLOOKUP(E44,'[2]Peajes (1)'!$A:$D,4,0)</f>
        <v>3849</v>
      </c>
      <c r="C44" s="3" t="s">
        <v>212</v>
      </c>
      <c r="D44" s="3" t="s">
        <v>213</v>
      </c>
      <c r="E44" s="3" t="s">
        <v>215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428853600</v>
      </c>
      <c r="Z44" s="4">
        <v>938296400</v>
      </c>
      <c r="AA44" s="4">
        <v>1043120900</v>
      </c>
      <c r="AB44" s="4">
        <v>1032187100</v>
      </c>
      <c r="AC44" s="4">
        <v>1232616600</v>
      </c>
      <c r="AD44" s="4">
        <v>1263536500</v>
      </c>
      <c r="AE44" s="4">
        <v>1019753700</v>
      </c>
      <c r="AF44" s="4">
        <v>1193819800</v>
      </c>
      <c r="AG44" s="4">
        <v>1053437100</v>
      </c>
      <c r="AH44" s="4">
        <v>1078715000</v>
      </c>
      <c r="AI44" s="4">
        <v>1035800500</v>
      </c>
      <c r="AJ44" s="4">
        <v>1034526450</v>
      </c>
      <c r="AK44" s="4">
        <v>1159262800</v>
      </c>
      <c r="AL44" s="4">
        <v>1071888800</v>
      </c>
      <c r="AM44" s="4">
        <v>1177322100</v>
      </c>
      <c r="AN44" s="4">
        <v>1135098200</v>
      </c>
      <c r="AO44" s="4">
        <v>1329148250</v>
      </c>
      <c r="AP44" s="4">
        <v>1355806400</v>
      </c>
      <c r="AQ44" s="4">
        <v>1038352700</v>
      </c>
      <c r="AR44" s="4">
        <v>1138655700</v>
      </c>
      <c r="AS44" s="4">
        <v>1176960300</v>
      </c>
      <c r="AT44" s="4">
        <v>1121246000</v>
      </c>
      <c r="AU44" s="4">
        <v>1150824800</v>
      </c>
      <c r="AV44" s="4">
        <v>1166242000</v>
      </c>
      <c r="AW44" s="4">
        <v>1134737800</v>
      </c>
      <c r="AX44" s="4">
        <v>1080068400</v>
      </c>
      <c r="AY44" s="4">
        <v>1168504900</v>
      </c>
      <c r="AZ44" s="4">
        <v>1171295100</v>
      </c>
      <c r="BA44" s="4">
        <v>1338458200</v>
      </c>
      <c r="BB44" s="4">
        <v>1366758400</v>
      </c>
      <c r="BC44" s="4">
        <v>1026237600</v>
      </c>
      <c r="BD44" s="4">
        <v>1209960100</v>
      </c>
      <c r="BE44" s="4">
        <v>1153150600</v>
      </c>
      <c r="BF44" s="4">
        <v>1029099200</v>
      </c>
      <c r="BG44" s="4">
        <v>988493600</v>
      </c>
      <c r="BH44" s="4">
        <v>1166615200</v>
      </c>
      <c r="BI44" s="4">
        <v>1152737300</v>
      </c>
      <c r="BJ44" s="4">
        <v>1080480100</v>
      </c>
      <c r="BK44" s="4">
        <v>1175085850</v>
      </c>
      <c r="BL44" s="4">
        <v>1152918100</v>
      </c>
      <c r="BM44" s="4">
        <v>1333861000</v>
      </c>
    </row>
    <row r="45" spans="1:65" x14ac:dyDescent="0.25">
      <c r="A45" s="1">
        <v>85</v>
      </c>
      <c r="B45" s="1">
        <f>VLOOKUP(E45,'[2]Peajes (1)'!$A:$D,4,0)</f>
        <v>3809</v>
      </c>
      <c r="C45" s="3" t="s">
        <v>121</v>
      </c>
      <c r="D45" s="3" t="s">
        <v>122</v>
      </c>
      <c r="E45" s="3" t="s">
        <v>123</v>
      </c>
      <c r="F45" s="4">
        <v>2196879550</v>
      </c>
      <c r="G45" s="4">
        <v>1692243500</v>
      </c>
      <c r="H45" s="4">
        <v>1715125300</v>
      </c>
      <c r="I45" s="4">
        <v>1928730200</v>
      </c>
      <c r="J45" s="4">
        <v>1853113200</v>
      </c>
      <c r="K45" s="4">
        <v>1883039850</v>
      </c>
      <c r="L45" s="4">
        <v>2066533100</v>
      </c>
      <c r="M45" s="4">
        <v>1815912950</v>
      </c>
      <c r="N45" s="4">
        <v>1740369250</v>
      </c>
      <c r="O45" s="4">
        <v>1949183750</v>
      </c>
      <c r="P45" s="4">
        <v>1910684250</v>
      </c>
      <c r="Q45" s="4">
        <v>1990192750</v>
      </c>
      <c r="R45" s="4">
        <v>2212755250</v>
      </c>
      <c r="S45" s="4">
        <v>1891142000</v>
      </c>
      <c r="T45" s="4">
        <v>2047428500</v>
      </c>
      <c r="U45" s="4">
        <v>2007558700</v>
      </c>
      <c r="V45" s="4">
        <v>1958865800</v>
      </c>
      <c r="W45" s="4">
        <v>1901840500</v>
      </c>
      <c r="X45" s="4">
        <v>2058246200</v>
      </c>
      <c r="Y45" s="4">
        <v>2000414400</v>
      </c>
      <c r="Z45" s="4">
        <v>1937840500</v>
      </c>
      <c r="AA45" s="4">
        <v>2105803200</v>
      </c>
      <c r="AB45" s="4">
        <v>1966056800</v>
      </c>
      <c r="AC45" s="4">
        <v>2101944850</v>
      </c>
      <c r="AD45" s="4">
        <v>2341546750</v>
      </c>
      <c r="AE45" s="4">
        <v>1770366900</v>
      </c>
      <c r="AF45" s="4">
        <v>2012801400</v>
      </c>
      <c r="AG45" s="4">
        <v>1886462800</v>
      </c>
      <c r="AH45" s="4">
        <v>1912613100</v>
      </c>
      <c r="AI45" s="4">
        <v>1902241400</v>
      </c>
      <c r="AJ45" s="4">
        <v>1783410100</v>
      </c>
      <c r="AK45" s="4">
        <v>2119458800</v>
      </c>
      <c r="AL45" s="4">
        <v>2008386200</v>
      </c>
      <c r="AM45" s="4">
        <v>2086090600</v>
      </c>
      <c r="AN45" s="4">
        <v>2104369550</v>
      </c>
      <c r="AO45" s="4">
        <v>2368310700</v>
      </c>
      <c r="AP45" s="4">
        <v>2757400800</v>
      </c>
      <c r="AQ45" s="4">
        <v>2114792150</v>
      </c>
      <c r="AR45" s="4">
        <v>2360005500</v>
      </c>
      <c r="AS45" s="4">
        <v>2174588600</v>
      </c>
      <c r="AT45" s="4">
        <v>2241027400</v>
      </c>
      <c r="AU45" s="4">
        <v>2235946150</v>
      </c>
      <c r="AV45" s="4">
        <v>2095199650</v>
      </c>
      <c r="AW45" s="4">
        <v>2094118300</v>
      </c>
      <c r="AX45" s="4">
        <v>2049487600</v>
      </c>
      <c r="AY45" s="4">
        <v>2222492300</v>
      </c>
      <c r="AZ45" s="4">
        <v>2119204900</v>
      </c>
      <c r="BA45" s="4">
        <v>2361653700</v>
      </c>
      <c r="BB45" s="4">
        <v>2715741700</v>
      </c>
      <c r="BC45" s="4">
        <v>2007836200</v>
      </c>
      <c r="BD45" s="4">
        <v>2373389150</v>
      </c>
      <c r="BE45" s="4">
        <v>2452894400</v>
      </c>
      <c r="BF45" s="4">
        <v>2383857200</v>
      </c>
      <c r="BG45" s="4">
        <v>2388409550</v>
      </c>
      <c r="BH45" s="4">
        <v>2409713400</v>
      </c>
      <c r="BI45" s="4">
        <v>2314613500</v>
      </c>
      <c r="BJ45" s="4">
        <v>2263120700</v>
      </c>
      <c r="BK45" s="4">
        <v>2419954900</v>
      </c>
      <c r="BL45" s="4">
        <v>2327587850</v>
      </c>
      <c r="BM45" s="4">
        <v>2538519200</v>
      </c>
    </row>
    <row r="46" spans="1:65" x14ac:dyDescent="0.25">
      <c r="A46" s="1">
        <v>86</v>
      </c>
      <c r="B46" s="1">
        <f>VLOOKUP(E46,'[2]Peajes (1)'!$A:$D,4,0)</f>
        <v>3827</v>
      </c>
      <c r="C46" s="3" t="s">
        <v>121</v>
      </c>
      <c r="D46" s="3" t="s">
        <v>122</v>
      </c>
      <c r="E46" s="3" t="s">
        <v>124</v>
      </c>
      <c r="F46" s="4">
        <v>975488200</v>
      </c>
      <c r="G46" s="4">
        <v>812672600</v>
      </c>
      <c r="H46" s="4">
        <v>901309250</v>
      </c>
      <c r="I46" s="4">
        <v>968542900</v>
      </c>
      <c r="J46" s="4">
        <v>932933400</v>
      </c>
      <c r="K46" s="4">
        <v>954016300</v>
      </c>
      <c r="L46" s="4">
        <v>998366950</v>
      </c>
      <c r="M46" s="4">
        <v>967577800</v>
      </c>
      <c r="N46" s="4">
        <v>930155800</v>
      </c>
      <c r="O46" s="4">
        <v>1026196500</v>
      </c>
      <c r="P46" s="4">
        <v>946165400</v>
      </c>
      <c r="Q46" s="4">
        <v>1026838300</v>
      </c>
      <c r="R46" s="4">
        <v>1139941500</v>
      </c>
      <c r="S46" s="4">
        <v>992615500</v>
      </c>
      <c r="T46" s="4">
        <v>1103980000</v>
      </c>
      <c r="U46" s="4">
        <v>1094280000</v>
      </c>
      <c r="V46" s="4">
        <v>1083364800</v>
      </c>
      <c r="W46" s="4">
        <v>1081886500</v>
      </c>
      <c r="X46" s="4">
        <v>1160845500</v>
      </c>
      <c r="Y46" s="4">
        <v>1024306500</v>
      </c>
      <c r="Z46" s="4">
        <v>1026802500</v>
      </c>
      <c r="AA46" s="4">
        <v>1153105800</v>
      </c>
      <c r="AB46" s="4">
        <v>1151233900</v>
      </c>
      <c r="AC46" s="4">
        <v>1213565200</v>
      </c>
      <c r="AD46" s="4">
        <v>1338266600</v>
      </c>
      <c r="AE46" s="4">
        <v>1265295500</v>
      </c>
      <c r="AF46" s="4">
        <v>1284279300</v>
      </c>
      <c r="AG46" s="4">
        <v>1256277200</v>
      </c>
      <c r="AH46" s="4">
        <v>1067641900</v>
      </c>
      <c r="AI46" s="4">
        <v>1120576400</v>
      </c>
      <c r="AJ46" s="4">
        <v>1082948900</v>
      </c>
      <c r="AK46" s="4">
        <v>1354446200</v>
      </c>
      <c r="AL46" s="4">
        <v>1361934300</v>
      </c>
      <c r="AM46" s="4">
        <v>1494723700</v>
      </c>
      <c r="AN46" s="4">
        <v>1582434400</v>
      </c>
      <c r="AO46" s="4">
        <v>1553800250</v>
      </c>
      <c r="AP46" s="4">
        <v>1771543000</v>
      </c>
      <c r="AQ46" s="4">
        <v>1739012150</v>
      </c>
      <c r="AR46" s="4">
        <v>1881538600</v>
      </c>
      <c r="AS46" s="4">
        <v>1239085850</v>
      </c>
      <c r="AT46" s="4">
        <v>1392312700</v>
      </c>
      <c r="AU46" s="4">
        <v>1418531900</v>
      </c>
      <c r="AV46" s="4">
        <v>1223412600</v>
      </c>
      <c r="AW46" s="4">
        <v>1164816400</v>
      </c>
      <c r="AX46" s="4">
        <v>1144066300</v>
      </c>
      <c r="AY46" s="4">
        <v>1192456200</v>
      </c>
      <c r="AZ46" s="4">
        <v>1209567900</v>
      </c>
      <c r="BA46" s="4">
        <v>1267021800</v>
      </c>
      <c r="BB46" s="4">
        <v>1343445500</v>
      </c>
      <c r="BC46" s="4">
        <v>1145078200</v>
      </c>
      <c r="BD46" s="4">
        <v>1344822300</v>
      </c>
      <c r="BE46" s="4">
        <v>1251916500</v>
      </c>
      <c r="BF46" s="4">
        <v>1231914200</v>
      </c>
      <c r="BG46" s="4">
        <v>1347860900</v>
      </c>
      <c r="BH46" s="4">
        <v>1330827750</v>
      </c>
      <c r="BI46" s="4">
        <v>1321034100</v>
      </c>
      <c r="BJ46" s="4">
        <v>1282837500</v>
      </c>
      <c r="BK46" s="4">
        <v>1351900500</v>
      </c>
      <c r="BL46" s="4">
        <v>1325348450</v>
      </c>
      <c r="BM46" s="4">
        <v>1407239000</v>
      </c>
    </row>
    <row r="47" spans="1:65" x14ac:dyDescent="0.25">
      <c r="A47" s="1">
        <v>35</v>
      </c>
      <c r="B47" s="1">
        <f>VLOOKUP(E47,'[2]Peajes (1)'!$A:$D,4,0)</f>
        <v>3845</v>
      </c>
      <c r="C47" s="3" t="s">
        <v>53</v>
      </c>
      <c r="D47" s="3" t="s">
        <v>54</v>
      </c>
      <c r="E47" s="3" t="s">
        <v>56</v>
      </c>
      <c r="F47" s="4">
        <v>1051802300</v>
      </c>
      <c r="G47" s="4">
        <v>848754300</v>
      </c>
      <c r="H47" s="4">
        <v>880788500</v>
      </c>
      <c r="I47" s="4">
        <v>836351200</v>
      </c>
      <c r="J47" s="4">
        <v>758933300</v>
      </c>
      <c r="K47" s="4">
        <v>835990400</v>
      </c>
      <c r="L47" s="4">
        <v>1010196200</v>
      </c>
      <c r="M47" s="4">
        <v>957805800</v>
      </c>
      <c r="N47" s="4">
        <v>864698200</v>
      </c>
      <c r="O47" s="4">
        <v>818503900</v>
      </c>
      <c r="P47" s="4">
        <v>768550200</v>
      </c>
      <c r="Q47" s="4">
        <v>832659600</v>
      </c>
      <c r="R47" s="4">
        <v>868878400</v>
      </c>
      <c r="S47" s="4">
        <v>727677700</v>
      </c>
      <c r="T47" s="4">
        <v>749844000</v>
      </c>
      <c r="U47" s="4">
        <v>747545100</v>
      </c>
      <c r="V47" s="4">
        <v>803336500</v>
      </c>
      <c r="W47" s="4">
        <v>708517000</v>
      </c>
      <c r="X47" s="4">
        <v>728241500</v>
      </c>
      <c r="Y47" s="4">
        <v>815807500</v>
      </c>
      <c r="Z47" s="4">
        <v>842962500</v>
      </c>
      <c r="AA47" s="4">
        <v>794342600</v>
      </c>
      <c r="AB47" s="4">
        <v>792122300</v>
      </c>
      <c r="AC47" s="4">
        <v>907068600</v>
      </c>
      <c r="AD47" s="4">
        <v>972600100</v>
      </c>
      <c r="AE47" s="4">
        <v>858374200</v>
      </c>
      <c r="AF47" s="4">
        <v>941490400</v>
      </c>
      <c r="AG47" s="4">
        <v>840841000</v>
      </c>
      <c r="AH47" s="4">
        <v>675639000</v>
      </c>
      <c r="AI47" s="4">
        <v>886071200</v>
      </c>
      <c r="AJ47" s="4">
        <v>993208200</v>
      </c>
      <c r="AK47" s="4">
        <v>946422700</v>
      </c>
      <c r="AL47" s="4">
        <v>989306400</v>
      </c>
      <c r="AM47" s="4">
        <v>1072414000</v>
      </c>
      <c r="AN47" s="4">
        <v>1023181300</v>
      </c>
      <c r="AO47" s="4">
        <v>1019854000</v>
      </c>
      <c r="AP47" s="4">
        <v>1110319000</v>
      </c>
      <c r="AQ47" s="4">
        <v>952529800</v>
      </c>
      <c r="AR47" s="4">
        <v>972622100</v>
      </c>
      <c r="AS47" s="4">
        <v>967384800</v>
      </c>
      <c r="AT47" s="4">
        <v>887523400</v>
      </c>
      <c r="AU47" s="4">
        <v>982205300</v>
      </c>
      <c r="AV47" s="4">
        <v>1084802800</v>
      </c>
      <c r="AW47" s="4">
        <v>1003345100</v>
      </c>
      <c r="AX47" s="4">
        <v>991985100</v>
      </c>
      <c r="AY47" s="4">
        <v>1102680000</v>
      </c>
      <c r="AZ47" s="4">
        <v>1001695300</v>
      </c>
      <c r="BA47" s="4">
        <v>1132678500</v>
      </c>
      <c r="BB47" s="4">
        <v>1198880900</v>
      </c>
      <c r="BC47" s="4">
        <v>897627800</v>
      </c>
      <c r="BD47" s="4">
        <v>1155614000</v>
      </c>
      <c r="BE47" s="4">
        <v>1082794100</v>
      </c>
      <c r="BF47" s="4">
        <v>1004509700</v>
      </c>
      <c r="BG47" s="4">
        <v>1008735400</v>
      </c>
      <c r="BH47" s="4">
        <v>1125666800</v>
      </c>
      <c r="BI47" s="4">
        <v>1090870000</v>
      </c>
      <c r="BJ47" s="4">
        <v>1062846900</v>
      </c>
      <c r="BK47" s="4">
        <v>1084991300</v>
      </c>
      <c r="BL47" s="4">
        <v>1005482900</v>
      </c>
      <c r="BM47" s="4">
        <v>1190715700</v>
      </c>
    </row>
    <row r="48" spans="1:65" x14ac:dyDescent="0.25">
      <c r="A48" s="1">
        <v>47</v>
      </c>
      <c r="B48" s="1">
        <f>VLOOKUP(E48,'[2]Peajes (1)'!$A:$D,4,0)</f>
        <v>3833</v>
      </c>
      <c r="C48" s="3" t="s">
        <v>70</v>
      </c>
      <c r="D48" s="3" t="s">
        <v>71</v>
      </c>
      <c r="E48" s="3" t="s">
        <v>72</v>
      </c>
      <c r="F48" s="4">
        <v>72210000</v>
      </c>
      <c r="G48" s="4">
        <v>64139000</v>
      </c>
      <c r="H48" s="4">
        <v>70127000</v>
      </c>
      <c r="I48" s="4">
        <v>72264000</v>
      </c>
      <c r="J48" s="4">
        <v>76182150</v>
      </c>
      <c r="K48" s="4">
        <v>75793000</v>
      </c>
      <c r="L48" s="4">
        <v>87838000</v>
      </c>
      <c r="M48" s="4">
        <v>82745300</v>
      </c>
      <c r="N48" s="4">
        <v>70680050</v>
      </c>
      <c r="O48" s="4">
        <v>67102000</v>
      </c>
      <c r="P48" s="4">
        <v>68732000</v>
      </c>
      <c r="Q48" s="4">
        <v>76956000</v>
      </c>
      <c r="R48" s="4">
        <v>60475000</v>
      </c>
      <c r="S48" s="4">
        <v>61448000</v>
      </c>
      <c r="T48" s="4">
        <v>64090000</v>
      </c>
      <c r="U48" s="4">
        <v>61518350</v>
      </c>
      <c r="V48" s="4">
        <v>64909000</v>
      </c>
      <c r="W48" s="4">
        <v>61262000</v>
      </c>
      <c r="X48" s="4">
        <v>63361000</v>
      </c>
      <c r="Y48" s="4">
        <v>52052000</v>
      </c>
      <c r="Z48" s="4">
        <v>37585000</v>
      </c>
      <c r="AA48" s="4">
        <v>38834000</v>
      </c>
      <c r="AB48" s="4">
        <v>36326000</v>
      </c>
      <c r="AC48" s="4">
        <v>39713000</v>
      </c>
      <c r="AD48" s="4">
        <v>31516000</v>
      </c>
      <c r="AE48" s="4">
        <v>35249000</v>
      </c>
      <c r="AF48" s="4">
        <v>35502000</v>
      </c>
      <c r="AG48" s="4">
        <v>38948000</v>
      </c>
      <c r="AH48" s="4">
        <v>38025000</v>
      </c>
      <c r="AI48" s="4">
        <v>35196000</v>
      </c>
      <c r="AJ48" s="4">
        <v>38375200</v>
      </c>
      <c r="AK48" s="4">
        <v>41066000</v>
      </c>
      <c r="AL48" s="4">
        <v>43929200</v>
      </c>
      <c r="AM48" s="4">
        <v>43372000</v>
      </c>
      <c r="AN48" s="4">
        <v>41777350</v>
      </c>
      <c r="AO48" s="4">
        <v>47241000</v>
      </c>
      <c r="AP48" s="4">
        <v>40087500</v>
      </c>
      <c r="AQ48" s="4">
        <v>41714300</v>
      </c>
      <c r="AR48" s="4">
        <v>48830950</v>
      </c>
      <c r="AS48" s="4">
        <v>42592000</v>
      </c>
      <c r="AT48" s="4">
        <v>43873500</v>
      </c>
      <c r="AU48" s="4">
        <v>40989100</v>
      </c>
      <c r="AV48" s="4">
        <v>45020100</v>
      </c>
      <c r="AW48" s="4">
        <v>46841100</v>
      </c>
      <c r="AX48" s="4">
        <v>46768000</v>
      </c>
      <c r="AY48" s="4">
        <v>48139400</v>
      </c>
      <c r="AZ48" s="4">
        <v>47419100</v>
      </c>
      <c r="BA48" s="4">
        <v>51503200</v>
      </c>
      <c r="BB48" s="4">
        <v>42268700</v>
      </c>
      <c r="BC48" s="4">
        <v>46380000</v>
      </c>
      <c r="BD48" s="4">
        <v>48632500</v>
      </c>
      <c r="BE48" s="4">
        <v>50210200</v>
      </c>
      <c r="BF48" s="4">
        <v>50233700</v>
      </c>
      <c r="BG48" s="4">
        <v>46826000</v>
      </c>
      <c r="BH48" s="4">
        <v>49920600</v>
      </c>
      <c r="BI48" s="4">
        <v>53726000</v>
      </c>
      <c r="BJ48" s="4">
        <v>51338200</v>
      </c>
      <c r="BK48" s="4">
        <v>52761200</v>
      </c>
      <c r="BL48" s="4">
        <v>51385000</v>
      </c>
      <c r="BM48" s="4">
        <v>58381000</v>
      </c>
    </row>
    <row r="49" spans="1:65" x14ac:dyDescent="0.25">
      <c r="A49" s="1">
        <v>77</v>
      </c>
      <c r="B49" s="1">
        <f>VLOOKUP(E49,'[2]Peajes (1)'!$A:$D,4,0)</f>
        <v>3852</v>
      </c>
      <c r="C49" s="3" t="s">
        <v>109</v>
      </c>
      <c r="D49" s="3" t="s">
        <v>110</v>
      </c>
      <c r="E49" s="3" t="s">
        <v>111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1581873450</v>
      </c>
      <c r="Q49" s="4">
        <v>3434044200</v>
      </c>
      <c r="R49" s="4">
        <v>3477633400</v>
      </c>
      <c r="S49" s="4">
        <v>2981689350</v>
      </c>
      <c r="T49" s="4">
        <v>3155484750</v>
      </c>
      <c r="U49" s="4">
        <v>3244057850</v>
      </c>
      <c r="V49" s="4">
        <v>3203853100</v>
      </c>
      <c r="W49" s="4">
        <v>3472114000</v>
      </c>
      <c r="X49" s="4">
        <v>4275192300</v>
      </c>
      <c r="Y49" s="4">
        <v>4198985500</v>
      </c>
      <c r="Z49" s="4">
        <v>4144502200</v>
      </c>
      <c r="AA49" s="4">
        <v>4182189000</v>
      </c>
      <c r="AB49" s="4">
        <v>3875669200</v>
      </c>
      <c r="AC49" s="4">
        <v>4472881100</v>
      </c>
      <c r="AD49" s="4">
        <v>4343221850</v>
      </c>
      <c r="AE49" s="4">
        <v>3484043100</v>
      </c>
      <c r="AF49" s="4">
        <v>3722803400</v>
      </c>
      <c r="AG49" s="4">
        <v>3326481000</v>
      </c>
      <c r="AH49" s="4">
        <v>3384214800</v>
      </c>
      <c r="AI49" s="4">
        <v>3330630800</v>
      </c>
      <c r="AJ49" s="4">
        <v>3289481150</v>
      </c>
      <c r="AK49" s="4">
        <v>3728333050</v>
      </c>
      <c r="AL49" s="4">
        <v>3412531800</v>
      </c>
      <c r="AM49" s="4">
        <v>3715710300</v>
      </c>
      <c r="AN49" s="4">
        <v>3659202200</v>
      </c>
      <c r="AO49" s="4">
        <v>4108136500</v>
      </c>
      <c r="AP49" s="4">
        <v>4251160700</v>
      </c>
      <c r="AQ49" s="4">
        <v>3300215500</v>
      </c>
      <c r="AR49" s="4">
        <v>3734907500</v>
      </c>
      <c r="AS49" s="4">
        <v>3824329700</v>
      </c>
      <c r="AT49" s="4">
        <v>4176579400</v>
      </c>
      <c r="AU49" s="4">
        <v>3990589900</v>
      </c>
      <c r="AV49" s="4">
        <v>3930628600</v>
      </c>
      <c r="AW49" s="4">
        <v>4082207200</v>
      </c>
      <c r="AX49" s="4">
        <v>3821933800</v>
      </c>
      <c r="AY49" s="4">
        <v>4277834750</v>
      </c>
      <c r="AZ49" s="4">
        <v>4136479200</v>
      </c>
      <c r="BA49" s="4">
        <v>4576443400</v>
      </c>
      <c r="BB49" s="4">
        <v>4603129200</v>
      </c>
      <c r="BC49" s="4">
        <v>3551916500</v>
      </c>
      <c r="BD49" s="4">
        <v>4077901300</v>
      </c>
      <c r="BE49" s="4">
        <v>3915263500</v>
      </c>
      <c r="BF49" s="4">
        <v>3778416900</v>
      </c>
      <c r="BG49" s="4">
        <v>3796201400</v>
      </c>
      <c r="BH49" s="4">
        <v>4019558400</v>
      </c>
      <c r="BI49" s="4">
        <v>3970927500</v>
      </c>
      <c r="BJ49" s="4">
        <v>3820196700</v>
      </c>
      <c r="BK49" s="4">
        <v>4103290000</v>
      </c>
      <c r="BL49" s="4">
        <v>4218156100</v>
      </c>
      <c r="BM49" s="4">
        <v>5056705250</v>
      </c>
    </row>
    <row r="50" spans="1:65" s="10" customFormat="1" x14ac:dyDescent="0.25">
      <c r="A50" s="8">
        <v>134</v>
      </c>
      <c r="B50" s="1">
        <f>VLOOKUP(E50,'[2]Peajes (1)'!$A:$D,4,0)</f>
        <v>3946</v>
      </c>
      <c r="C50" s="8" t="s">
        <v>199</v>
      </c>
      <c r="D50" s="8" t="s">
        <v>200</v>
      </c>
      <c r="E50" s="8" t="s">
        <v>50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530533200</v>
      </c>
      <c r="AJ50" s="11">
        <v>1500580100</v>
      </c>
      <c r="AK50" s="11">
        <v>1544422750</v>
      </c>
      <c r="AL50" s="11">
        <v>1371321200</v>
      </c>
      <c r="AM50" s="11">
        <v>1515203600</v>
      </c>
      <c r="AN50" s="11">
        <v>1479848700</v>
      </c>
      <c r="AO50" s="11">
        <v>1776403350</v>
      </c>
      <c r="AP50" s="11">
        <v>1796282750</v>
      </c>
      <c r="AQ50" s="11">
        <v>1365968400</v>
      </c>
      <c r="AR50" s="11">
        <v>1543461400</v>
      </c>
      <c r="AS50" s="11">
        <v>1675435350</v>
      </c>
      <c r="AT50" s="11">
        <v>1493232950</v>
      </c>
      <c r="AU50" s="11">
        <v>1719273050</v>
      </c>
      <c r="AV50" s="11">
        <v>1802871300</v>
      </c>
      <c r="AW50" s="11">
        <v>1632366000</v>
      </c>
      <c r="AX50" s="11">
        <v>1506771400</v>
      </c>
      <c r="AY50" s="11">
        <v>1701693550</v>
      </c>
      <c r="AZ50" s="11">
        <v>1653301050</v>
      </c>
      <c r="BA50" s="11">
        <v>2046333200</v>
      </c>
      <c r="BB50" s="11">
        <v>2037028200</v>
      </c>
      <c r="BC50" s="11">
        <v>1500550400</v>
      </c>
      <c r="BD50" s="11">
        <v>1862167170</v>
      </c>
      <c r="BE50" s="11">
        <v>1660511900</v>
      </c>
      <c r="BF50" s="11">
        <v>1658556700</v>
      </c>
      <c r="BG50" s="11">
        <v>1874052800</v>
      </c>
      <c r="BH50" s="11">
        <v>1919087550</v>
      </c>
      <c r="BI50" s="11">
        <v>1797044050</v>
      </c>
      <c r="BJ50" s="11">
        <v>1646320050</v>
      </c>
      <c r="BK50" s="11">
        <v>1905969200</v>
      </c>
      <c r="BL50" s="11">
        <v>1865765550</v>
      </c>
      <c r="BM50" s="11">
        <v>2224884950</v>
      </c>
    </row>
    <row r="51" spans="1:65" x14ac:dyDescent="0.25">
      <c r="A51" s="1">
        <v>103</v>
      </c>
      <c r="B51" s="1">
        <f>VLOOKUP(E51,'[2]Peajes (1)'!$A:$D,4,0)</f>
        <v>3967</v>
      </c>
      <c r="C51" s="3" t="s">
        <v>157</v>
      </c>
      <c r="D51" s="3" t="s">
        <v>158</v>
      </c>
      <c r="E51" s="3" t="s">
        <v>245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603535800</v>
      </c>
      <c r="AK51" s="4">
        <v>699828700</v>
      </c>
      <c r="AL51" s="4">
        <v>627702300</v>
      </c>
      <c r="AM51" s="4">
        <v>670084600</v>
      </c>
      <c r="AN51" s="4">
        <v>668215500</v>
      </c>
      <c r="AO51" s="4">
        <v>754098700</v>
      </c>
      <c r="AP51" s="4">
        <v>780967900</v>
      </c>
      <c r="AQ51" s="4">
        <v>644494500</v>
      </c>
      <c r="AR51" s="4">
        <v>679920300</v>
      </c>
      <c r="AS51" s="4">
        <v>727289300</v>
      </c>
      <c r="AT51" s="4">
        <v>720243400</v>
      </c>
      <c r="AU51" s="4">
        <v>705948100</v>
      </c>
      <c r="AV51" s="4">
        <v>734409500</v>
      </c>
      <c r="AW51" s="4">
        <v>742064000</v>
      </c>
      <c r="AX51" s="4">
        <v>701635300</v>
      </c>
      <c r="AY51" s="4">
        <v>787062800</v>
      </c>
      <c r="AZ51" s="4">
        <v>758104800</v>
      </c>
      <c r="BA51" s="4">
        <v>839589700</v>
      </c>
      <c r="BB51" s="4">
        <v>840544750</v>
      </c>
      <c r="BC51" s="4">
        <v>646295500</v>
      </c>
      <c r="BD51" s="4">
        <v>755910808</v>
      </c>
      <c r="BE51" s="4">
        <v>754531800</v>
      </c>
      <c r="BF51" s="4">
        <v>580060700</v>
      </c>
      <c r="BG51" s="4">
        <v>741190400</v>
      </c>
      <c r="BH51" s="4">
        <v>787753300</v>
      </c>
      <c r="BI51" s="4">
        <v>772916900</v>
      </c>
      <c r="BJ51" s="4">
        <v>718523700</v>
      </c>
      <c r="BK51" s="4">
        <v>755005900</v>
      </c>
      <c r="BL51" s="4">
        <v>716675300</v>
      </c>
      <c r="BM51" s="4">
        <v>891568600</v>
      </c>
    </row>
    <row r="52" spans="1:65" s="10" customFormat="1" hidden="1" x14ac:dyDescent="0.25">
      <c r="A52" s="8">
        <v>69</v>
      </c>
      <c r="B52" s="1">
        <f>VLOOKUP(E52,'[2]Peajes (1)'!$A:$D,4,0)</f>
        <v>3918</v>
      </c>
      <c r="C52" s="8" t="s">
        <v>95</v>
      </c>
      <c r="D52" s="8" t="s">
        <v>96</v>
      </c>
      <c r="E52" s="8" t="s">
        <v>99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226454900</v>
      </c>
      <c r="AB52" s="11">
        <v>1642501200</v>
      </c>
      <c r="AC52" s="11">
        <v>1991416400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0</v>
      </c>
      <c r="BM52" s="11">
        <v>0</v>
      </c>
    </row>
    <row r="53" spans="1:65" s="10" customFormat="1" hidden="1" x14ac:dyDescent="0.25">
      <c r="A53" s="8">
        <v>145</v>
      </c>
      <c r="B53" s="1">
        <f>VLOOKUP(E53,'[2]Peajes (1)'!$A:$D,4,0)</f>
        <v>3918</v>
      </c>
      <c r="C53" s="8" t="s">
        <v>216</v>
      </c>
      <c r="D53" s="8" t="s">
        <v>217</v>
      </c>
      <c r="E53" s="8" t="s">
        <v>99</v>
      </c>
      <c r="F53" s="11">
        <v>1419929100</v>
      </c>
      <c r="G53" s="11">
        <v>1183060000</v>
      </c>
      <c r="H53" s="11">
        <v>1297689800</v>
      </c>
      <c r="I53" s="11">
        <v>1354527200</v>
      </c>
      <c r="J53" s="11">
        <v>1290496300</v>
      </c>
      <c r="K53" s="11">
        <v>1320263900</v>
      </c>
      <c r="L53" s="11">
        <v>1442550000</v>
      </c>
      <c r="M53" s="11">
        <v>1419616100</v>
      </c>
      <c r="N53" s="11">
        <v>1307574000</v>
      </c>
      <c r="O53" s="11">
        <v>1388896900</v>
      </c>
      <c r="P53" s="11">
        <v>1602286400</v>
      </c>
      <c r="Q53" s="11">
        <v>1665846100</v>
      </c>
      <c r="R53" s="11">
        <v>1649757500</v>
      </c>
      <c r="S53" s="11">
        <v>1370448400</v>
      </c>
      <c r="T53" s="11">
        <v>1402668700</v>
      </c>
      <c r="U53" s="11">
        <v>1549177100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1912606260</v>
      </c>
      <c r="AE53" s="11">
        <v>1643486700</v>
      </c>
      <c r="AF53" s="11">
        <v>1882526400</v>
      </c>
      <c r="AG53" s="11">
        <v>1757557000</v>
      </c>
      <c r="AH53" s="11">
        <v>1846765200</v>
      </c>
      <c r="AI53" s="11">
        <v>1376947400</v>
      </c>
      <c r="AJ53" s="11">
        <v>1595026500</v>
      </c>
      <c r="AK53" s="11">
        <v>2114986700</v>
      </c>
      <c r="AL53" s="11">
        <v>1775657600</v>
      </c>
      <c r="AM53" s="11">
        <v>1840207400</v>
      </c>
      <c r="AN53" s="11">
        <v>1843770600</v>
      </c>
      <c r="AO53" s="11">
        <v>2138665250</v>
      </c>
      <c r="AP53" s="11">
        <v>2049444200</v>
      </c>
      <c r="AQ53" s="11">
        <v>1716857800</v>
      </c>
      <c r="AR53" s="11">
        <v>1771840600</v>
      </c>
      <c r="AS53" s="11">
        <v>1851303000</v>
      </c>
      <c r="AT53" s="11">
        <v>1829400050</v>
      </c>
      <c r="AU53" s="11">
        <v>1843700300</v>
      </c>
      <c r="AV53" s="11">
        <v>2038911700</v>
      </c>
      <c r="AW53" s="11">
        <v>1998554950</v>
      </c>
      <c r="AX53" s="11">
        <v>1855225450</v>
      </c>
      <c r="AY53" s="11">
        <v>1885397550</v>
      </c>
      <c r="AZ53" s="11">
        <v>1873566900</v>
      </c>
      <c r="BA53" s="11">
        <v>2236577450</v>
      </c>
      <c r="BB53" s="11">
        <v>2174293050</v>
      </c>
      <c r="BC53" s="11">
        <v>1797840150</v>
      </c>
      <c r="BD53" s="11">
        <v>2109521350</v>
      </c>
      <c r="BE53" s="11">
        <v>1985467250</v>
      </c>
      <c r="BF53" s="11">
        <v>2034015650</v>
      </c>
      <c r="BG53" s="11">
        <v>2027698900</v>
      </c>
      <c r="BH53" s="11">
        <v>2166842200</v>
      </c>
      <c r="BI53" s="11">
        <v>2112929000</v>
      </c>
      <c r="BJ53" s="11">
        <v>1946893000</v>
      </c>
      <c r="BK53" s="11">
        <v>1981968850</v>
      </c>
      <c r="BL53" s="11">
        <v>1892676900</v>
      </c>
      <c r="BM53" s="11">
        <v>2145544250</v>
      </c>
    </row>
    <row r="54" spans="1:65" s="10" customFormat="1" x14ac:dyDescent="0.25">
      <c r="A54" s="8">
        <v>145</v>
      </c>
      <c r="B54" s="1">
        <f>VLOOKUP(E54,'[2]Peajes (1)'!$A:$D,4,0)</f>
        <v>3918</v>
      </c>
      <c r="C54" s="8" t="s">
        <v>216</v>
      </c>
      <c r="D54" s="8" t="s">
        <v>217</v>
      </c>
      <c r="E54" s="8" t="s">
        <v>99</v>
      </c>
      <c r="F54" s="11">
        <f>SUM(F52:F53)</f>
        <v>1419929100</v>
      </c>
      <c r="G54" s="11">
        <f t="shared" ref="G54:M54" si="4">SUM(G52:G53)</f>
        <v>1183060000</v>
      </c>
      <c r="H54" s="11">
        <f t="shared" si="4"/>
        <v>1297689800</v>
      </c>
      <c r="I54" s="11">
        <f t="shared" si="4"/>
        <v>1354527200</v>
      </c>
      <c r="J54" s="11">
        <f t="shared" si="4"/>
        <v>1290496300</v>
      </c>
      <c r="K54" s="11">
        <f t="shared" si="4"/>
        <v>1320263900</v>
      </c>
      <c r="L54" s="11">
        <f t="shared" si="4"/>
        <v>1442550000</v>
      </c>
      <c r="M54" s="11">
        <f t="shared" si="4"/>
        <v>1419616100</v>
      </c>
      <c r="N54" s="11">
        <f t="shared" ref="N54" si="5">SUM(N52:N53)</f>
        <v>1307574000</v>
      </c>
      <c r="O54" s="11">
        <f t="shared" ref="O54" si="6">SUM(O52:O53)</f>
        <v>1388896900</v>
      </c>
      <c r="P54" s="11">
        <f t="shared" ref="P54" si="7">SUM(P52:P53)</f>
        <v>1602286400</v>
      </c>
      <c r="Q54" s="11">
        <f t="shared" ref="Q54" si="8">SUM(Q52:Q53)</f>
        <v>1665846100</v>
      </c>
      <c r="R54" s="11">
        <f t="shared" ref="R54" si="9">SUM(R52:R53)</f>
        <v>1649757500</v>
      </c>
      <c r="S54" s="11">
        <f t="shared" ref="S54:T54" si="10">SUM(S52:S53)</f>
        <v>1370448400</v>
      </c>
      <c r="T54" s="11">
        <f t="shared" si="10"/>
        <v>1402668700</v>
      </c>
      <c r="U54" s="11">
        <f t="shared" ref="U54" si="11">SUM(U52:U53)</f>
        <v>1549177100</v>
      </c>
      <c r="V54" s="11">
        <f t="shared" ref="V54" si="12">SUM(V52:V53)</f>
        <v>0</v>
      </c>
      <c r="W54" s="11">
        <f t="shared" ref="W54" si="13">SUM(W52:W53)</f>
        <v>0</v>
      </c>
      <c r="X54" s="11">
        <f t="shared" ref="X54" si="14">SUM(X52:X53)</f>
        <v>0</v>
      </c>
      <c r="Y54" s="11">
        <f t="shared" ref="Y54" si="15">SUM(Y52:Y53)</f>
        <v>0</v>
      </c>
      <c r="Z54" s="11">
        <f t="shared" ref="Z54:AA54" si="16">SUM(Z52:Z53)</f>
        <v>0</v>
      </c>
      <c r="AA54" s="11">
        <f t="shared" si="16"/>
        <v>226454900</v>
      </c>
      <c r="AB54" s="11">
        <f t="shared" ref="AB54" si="17">SUM(AB52:AB53)</f>
        <v>1642501200</v>
      </c>
      <c r="AC54" s="11">
        <f t="shared" ref="AC54" si="18">SUM(AC52:AC53)</f>
        <v>1991416400</v>
      </c>
      <c r="AD54" s="11">
        <f t="shared" ref="AD54" si="19">SUM(AD52:AD53)</f>
        <v>1912606260</v>
      </c>
      <c r="AE54" s="11">
        <f t="shared" ref="AE54" si="20">SUM(AE52:AE53)</f>
        <v>1643486700</v>
      </c>
      <c r="AF54" s="11">
        <f t="shared" ref="AF54" si="21">SUM(AF52:AF53)</f>
        <v>1882526400</v>
      </c>
      <c r="AG54" s="11">
        <f t="shared" ref="AG54:AH54" si="22">SUM(AG52:AG53)</f>
        <v>1757557000</v>
      </c>
      <c r="AH54" s="11">
        <f t="shared" si="22"/>
        <v>1846765200</v>
      </c>
      <c r="AI54" s="11">
        <f t="shared" ref="AI54" si="23">SUM(AI52:AI53)</f>
        <v>1376947400</v>
      </c>
      <c r="AJ54" s="11">
        <f t="shared" ref="AJ54" si="24">SUM(AJ52:AJ53)</f>
        <v>1595026500</v>
      </c>
      <c r="AK54" s="11">
        <f t="shared" ref="AK54" si="25">SUM(AK52:AK53)</f>
        <v>2114986700</v>
      </c>
      <c r="AL54" s="11">
        <f t="shared" ref="AL54" si="26">SUM(AL52:AL53)</f>
        <v>1775657600</v>
      </c>
      <c r="AM54" s="11">
        <f t="shared" ref="AM54" si="27">SUM(AM52:AM53)</f>
        <v>1840207400</v>
      </c>
      <c r="AN54" s="11">
        <f t="shared" ref="AN54:AO54" si="28">SUM(AN52:AN53)</f>
        <v>1843770600</v>
      </c>
      <c r="AO54" s="11">
        <f t="shared" si="28"/>
        <v>2138665250</v>
      </c>
      <c r="AP54" s="11">
        <f t="shared" ref="AP54" si="29">SUM(AP52:AP53)</f>
        <v>2049444200</v>
      </c>
      <c r="AQ54" s="11">
        <f t="shared" ref="AQ54" si="30">SUM(AQ52:AQ53)</f>
        <v>1716857800</v>
      </c>
      <c r="AR54" s="11">
        <f t="shared" ref="AR54" si="31">SUM(AR52:AR53)</f>
        <v>1771840600</v>
      </c>
      <c r="AS54" s="11">
        <f t="shared" ref="AS54" si="32">SUM(AS52:AS53)</f>
        <v>1851303000</v>
      </c>
      <c r="AT54" s="11">
        <f t="shared" ref="AT54" si="33">SUM(AT52:AT53)</f>
        <v>1829400050</v>
      </c>
      <c r="AU54" s="11">
        <f t="shared" ref="AU54:AV54" si="34">SUM(AU52:AU53)</f>
        <v>1843700300</v>
      </c>
      <c r="AV54" s="11">
        <f t="shared" si="34"/>
        <v>2038911700</v>
      </c>
      <c r="AW54" s="11">
        <f t="shared" ref="AW54" si="35">SUM(AW52:AW53)</f>
        <v>1998554950</v>
      </c>
      <c r="AX54" s="11">
        <f t="shared" ref="AX54" si="36">SUM(AX52:AX53)</f>
        <v>1855225450</v>
      </c>
      <c r="AY54" s="11">
        <f t="shared" ref="AY54" si="37">SUM(AY52:AY53)</f>
        <v>1885397550</v>
      </c>
      <c r="AZ54" s="11">
        <f t="shared" ref="AZ54" si="38">SUM(AZ52:AZ53)</f>
        <v>1873566900</v>
      </c>
      <c r="BA54" s="11">
        <f t="shared" ref="BA54" si="39">SUM(BA52:BA53)</f>
        <v>2236577450</v>
      </c>
      <c r="BB54" s="11">
        <f t="shared" ref="BB54:BC54" si="40">SUM(BB52:BB53)</f>
        <v>2174293050</v>
      </c>
      <c r="BC54" s="11">
        <f t="shared" si="40"/>
        <v>1797840150</v>
      </c>
      <c r="BD54" s="11">
        <f t="shared" ref="BD54" si="41">SUM(BD52:BD53)</f>
        <v>2109521350</v>
      </c>
      <c r="BE54" s="11">
        <f t="shared" ref="BE54" si="42">SUM(BE52:BE53)</f>
        <v>1985467250</v>
      </c>
      <c r="BF54" s="11">
        <f t="shared" ref="BF54" si="43">SUM(BF52:BF53)</f>
        <v>2034015650</v>
      </c>
      <c r="BG54" s="11">
        <f t="shared" ref="BG54" si="44">SUM(BG52:BG53)</f>
        <v>2027698900</v>
      </c>
      <c r="BH54" s="11">
        <f t="shared" ref="BH54" si="45">SUM(BH52:BH53)</f>
        <v>2166842200</v>
      </c>
      <c r="BI54" s="11">
        <f t="shared" ref="BI54:BJ54" si="46">SUM(BI52:BI53)</f>
        <v>2112929000</v>
      </c>
      <c r="BJ54" s="11">
        <f t="shared" si="46"/>
        <v>1946893000</v>
      </c>
      <c r="BK54" s="11">
        <f t="shared" ref="BK54" si="47">SUM(BK52:BK53)</f>
        <v>1981968850</v>
      </c>
      <c r="BL54" s="11">
        <f t="shared" ref="BL54" si="48">SUM(BL52:BL53)</f>
        <v>1892676900</v>
      </c>
      <c r="BM54" s="11">
        <f t="shared" ref="BM54" si="49">SUM(BM52:BM53)</f>
        <v>2145544250</v>
      </c>
    </row>
    <row r="55" spans="1:65" x14ac:dyDescent="0.25">
      <c r="A55" s="1">
        <v>53</v>
      </c>
      <c r="B55" s="1">
        <f>VLOOKUP(E55,'[2]Peajes (1)'!$A:$D,4,0)</f>
        <v>3826</v>
      </c>
      <c r="C55" s="3" t="s">
        <v>79</v>
      </c>
      <c r="D55" s="3" t="s">
        <v>80</v>
      </c>
      <c r="E55" s="3" t="s">
        <v>82</v>
      </c>
      <c r="F55" s="4">
        <v>3964940200</v>
      </c>
      <c r="G55" s="4">
        <v>3098164100</v>
      </c>
      <c r="H55" s="4">
        <v>3521255400</v>
      </c>
      <c r="I55" s="4">
        <v>3584681600</v>
      </c>
      <c r="J55" s="4">
        <v>3139827400</v>
      </c>
      <c r="K55" s="4">
        <v>3531072100</v>
      </c>
      <c r="L55" s="4">
        <v>3437789100</v>
      </c>
      <c r="M55" s="4">
        <v>3652019500</v>
      </c>
      <c r="N55" s="4">
        <v>3266568500</v>
      </c>
      <c r="O55" s="4">
        <v>3671945600</v>
      </c>
      <c r="P55" s="4">
        <v>3576584100</v>
      </c>
      <c r="Q55" s="4">
        <v>4507679500</v>
      </c>
      <c r="R55" s="4">
        <v>4370718000</v>
      </c>
      <c r="S55" s="4">
        <v>3365373500</v>
      </c>
      <c r="T55" s="4">
        <v>3640153200</v>
      </c>
      <c r="U55" s="4">
        <v>3862135300</v>
      </c>
      <c r="V55" s="4">
        <v>3940390800</v>
      </c>
      <c r="W55" s="4">
        <v>4005695800</v>
      </c>
      <c r="X55" s="4">
        <v>3892343100</v>
      </c>
      <c r="Y55" s="4">
        <v>3963409000</v>
      </c>
      <c r="Z55" s="4">
        <v>3534891100</v>
      </c>
      <c r="AA55" s="4">
        <v>4070004400</v>
      </c>
      <c r="AB55" s="4">
        <v>3885221800</v>
      </c>
      <c r="AC55" s="4">
        <v>4943635000</v>
      </c>
      <c r="AD55" s="4">
        <v>4794447100</v>
      </c>
      <c r="AE55" s="4">
        <v>3770661800</v>
      </c>
      <c r="AF55" s="4">
        <v>4631296350</v>
      </c>
      <c r="AG55" s="4">
        <v>3763046950</v>
      </c>
      <c r="AH55" s="4">
        <v>4237666550</v>
      </c>
      <c r="AI55" s="4">
        <v>3919023250</v>
      </c>
      <c r="AJ55" s="4">
        <v>3730474700</v>
      </c>
      <c r="AK55" s="4">
        <v>4378054450</v>
      </c>
      <c r="AL55" s="4">
        <v>3941526800</v>
      </c>
      <c r="AM55" s="4">
        <v>4435054550</v>
      </c>
      <c r="AN55" s="4">
        <v>4267193300</v>
      </c>
      <c r="AO55" s="4">
        <v>5364564200</v>
      </c>
      <c r="AP55" s="4">
        <v>5205552350</v>
      </c>
      <c r="AQ55" s="4">
        <v>4065230200</v>
      </c>
      <c r="AR55" s="4">
        <v>4453022150</v>
      </c>
      <c r="AS55" s="4">
        <v>4819162350</v>
      </c>
      <c r="AT55" s="4">
        <v>4535709900</v>
      </c>
      <c r="AU55" s="4">
        <v>4639179350</v>
      </c>
      <c r="AV55" s="4">
        <v>4915089150</v>
      </c>
      <c r="AW55" s="4">
        <v>4849133550</v>
      </c>
      <c r="AX55" s="4">
        <v>4287092800</v>
      </c>
      <c r="AY55" s="4">
        <v>4891252500</v>
      </c>
      <c r="AZ55" s="4">
        <v>4718687150</v>
      </c>
      <c r="BA55" s="4">
        <v>6125827150</v>
      </c>
      <c r="BB55" s="4">
        <v>5709170400</v>
      </c>
      <c r="BC55" s="4">
        <v>4302392000</v>
      </c>
      <c r="BD55" s="4">
        <v>5371967800</v>
      </c>
      <c r="BE55" s="4">
        <v>4654001500</v>
      </c>
      <c r="BF55" s="4">
        <v>4834147650</v>
      </c>
      <c r="BG55" s="4">
        <v>5180678700</v>
      </c>
      <c r="BH55" s="4">
        <v>5428986950</v>
      </c>
      <c r="BI55" s="4">
        <v>5454029600</v>
      </c>
      <c r="BJ55" s="4">
        <v>4976669050</v>
      </c>
      <c r="BK55" s="4">
        <v>5452719500</v>
      </c>
      <c r="BL55" s="4">
        <v>5424347650</v>
      </c>
      <c r="BM55" s="4">
        <v>6958094150</v>
      </c>
    </row>
    <row r="56" spans="1:65" x14ac:dyDescent="0.25">
      <c r="A56" s="1">
        <v>41</v>
      </c>
      <c r="B56" s="1">
        <f>VLOOKUP(E56,'[2]Peajes (1)'!$A:$D,4,0)</f>
        <v>4804</v>
      </c>
      <c r="C56" s="3" t="s">
        <v>59</v>
      </c>
      <c r="D56" s="3" t="s">
        <v>60</v>
      </c>
      <c r="E56" s="3" t="s">
        <v>64</v>
      </c>
      <c r="F56" s="4">
        <v>2754951500</v>
      </c>
      <c r="G56" s="4">
        <v>2549650350</v>
      </c>
      <c r="H56" s="4">
        <v>2660190200</v>
      </c>
      <c r="I56" s="4">
        <v>2695291650</v>
      </c>
      <c r="J56" s="4">
        <v>2817989800</v>
      </c>
      <c r="K56" s="4">
        <v>2682920400</v>
      </c>
      <c r="L56" s="4">
        <v>2906444750</v>
      </c>
      <c r="M56" s="4">
        <v>2936556300</v>
      </c>
      <c r="N56" s="4">
        <v>2745105550</v>
      </c>
      <c r="O56" s="4">
        <v>2892645600</v>
      </c>
      <c r="P56" s="4">
        <v>2842861400</v>
      </c>
      <c r="Q56" s="4">
        <v>3286728400</v>
      </c>
      <c r="R56" s="4">
        <v>2986783800</v>
      </c>
      <c r="S56" s="4">
        <v>2726630600</v>
      </c>
      <c r="T56" s="4">
        <v>3003306900</v>
      </c>
      <c r="U56" s="4">
        <v>2875000800</v>
      </c>
      <c r="V56" s="4">
        <v>2890193000</v>
      </c>
      <c r="W56" s="4">
        <v>2852268500</v>
      </c>
      <c r="X56" s="4">
        <v>2970921300</v>
      </c>
      <c r="Y56" s="4">
        <v>2972918000</v>
      </c>
      <c r="Z56" s="4">
        <v>2773267600</v>
      </c>
      <c r="AA56" s="4">
        <v>2982160300</v>
      </c>
      <c r="AB56" s="4">
        <v>2966511950</v>
      </c>
      <c r="AC56" s="4">
        <v>3470752000</v>
      </c>
      <c r="AD56" s="4">
        <v>3152839800</v>
      </c>
      <c r="AE56" s="4">
        <v>3044381500</v>
      </c>
      <c r="AF56" s="4">
        <v>3252544650</v>
      </c>
      <c r="AG56" s="4">
        <v>3157865200</v>
      </c>
      <c r="AH56" s="4">
        <v>3333523200</v>
      </c>
      <c r="AI56" s="4">
        <v>3403417900</v>
      </c>
      <c r="AJ56" s="4">
        <v>3709003500</v>
      </c>
      <c r="AK56" s="4">
        <v>3579658700</v>
      </c>
      <c r="AL56" s="4">
        <v>3347755200</v>
      </c>
      <c r="AM56" s="4">
        <v>3497736600</v>
      </c>
      <c r="AN56" s="4">
        <v>3502383500</v>
      </c>
      <c r="AO56" s="4">
        <v>3973402900</v>
      </c>
      <c r="AP56" s="4">
        <v>3682356400</v>
      </c>
      <c r="AQ56" s="4">
        <v>3322669400</v>
      </c>
      <c r="AR56" s="4">
        <v>3696703800</v>
      </c>
      <c r="AS56" s="4">
        <v>3565013800</v>
      </c>
      <c r="AT56" s="4">
        <v>3693053600</v>
      </c>
      <c r="AU56" s="4">
        <v>3717943700</v>
      </c>
      <c r="AV56" s="4">
        <v>3967965200</v>
      </c>
      <c r="AW56" s="4">
        <v>3873777200</v>
      </c>
      <c r="AX56" s="4">
        <v>3464762600</v>
      </c>
      <c r="AY56" s="4">
        <v>3483861100</v>
      </c>
      <c r="AZ56" s="4">
        <v>3537194200</v>
      </c>
      <c r="BA56" s="4">
        <v>4147623600</v>
      </c>
      <c r="BB56" s="4">
        <v>3797149000</v>
      </c>
      <c r="BC56" s="4">
        <v>3499018400</v>
      </c>
      <c r="BD56" s="4">
        <v>3893755600</v>
      </c>
      <c r="BE56" s="4">
        <v>3698563500</v>
      </c>
      <c r="BF56" s="4">
        <v>3831154200</v>
      </c>
      <c r="BG56" s="4">
        <v>3806070700</v>
      </c>
      <c r="BH56" s="4">
        <v>4041849000</v>
      </c>
      <c r="BI56" s="4">
        <v>4044948900</v>
      </c>
      <c r="BJ56" s="4">
        <v>3821469900</v>
      </c>
      <c r="BK56" s="4">
        <v>4006129100</v>
      </c>
      <c r="BL56" s="4">
        <v>0</v>
      </c>
      <c r="BM56" s="4">
        <v>0</v>
      </c>
    </row>
    <row r="57" spans="1:65" s="10" customFormat="1" x14ac:dyDescent="0.25">
      <c r="A57" s="8">
        <v>135</v>
      </c>
      <c r="B57" s="1">
        <f>VLOOKUP(E57,'[2]Peajes (1)'!$A:$D,4,0)</f>
        <v>3844</v>
      </c>
      <c r="C57" s="8" t="s">
        <v>199</v>
      </c>
      <c r="D57" s="8" t="s">
        <v>200</v>
      </c>
      <c r="E57" s="8" t="s">
        <v>51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770073000</v>
      </c>
      <c r="AJ57" s="11">
        <v>2409992300</v>
      </c>
      <c r="AK57" s="11">
        <v>2204147100</v>
      </c>
      <c r="AL57" s="11">
        <v>1990727200</v>
      </c>
      <c r="AM57" s="11">
        <v>2159697000</v>
      </c>
      <c r="AN57" s="11">
        <v>2001630150</v>
      </c>
      <c r="AO57" s="11">
        <v>2478923850</v>
      </c>
      <c r="AP57" s="11">
        <v>2662091100</v>
      </c>
      <c r="AQ57" s="11">
        <v>1982193450</v>
      </c>
      <c r="AR57" s="11">
        <v>2224760800</v>
      </c>
      <c r="AS57" s="11">
        <v>2434459950</v>
      </c>
      <c r="AT57" s="11">
        <v>2245076200</v>
      </c>
      <c r="AU57" s="11">
        <v>2621905650</v>
      </c>
      <c r="AV57" s="11">
        <v>2766246000</v>
      </c>
      <c r="AW57" s="11">
        <v>2469741150</v>
      </c>
      <c r="AX57" s="11">
        <v>2229927400</v>
      </c>
      <c r="AY57" s="11">
        <v>2405512700</v>
      </c>
      <c r="AZ57" s="11">
        <v>2293059600</v>
      </c>
      <c r="BA57" s="11">
        <v>2875876150</v>
      </c>
      <c r="BB57" s="11">
        <v>2925890400</v>
      </c>
      <c r="BC57" s="11">
        <v>2149918700</v>
      </c>
      <c r="BD57" s="11">
        <v>2677366700</v>
      </c>
      <c r="BE57" s="11">
        <v>2360112900</v>
      </c>
      <c r="BF57" s="11">
        <v>2340389200</v>
      </c>
      <c r="BG57" s="11">
        <v>2729106700</v>
      </c>
      <c r="BH57" s="11">
        <v>2987495450</v>
      </c>
      <c r="BI57" s="11">
        <v>2819450700</v>
      </c>
      <c r="BJ57" s="11">
        <v>2525268900</v>
      </c>
      <c r="BK57" s="11">
        <v>2869363250</v>
      </c>
      <c r="BL57" s="11">
        <v>2678471200</v>
      </c>
      <c r="BM57" s="11">
        <v>3237072750</v>
      </c>
    </row>
    <row r="58" spans="1:65" s="10" customFormat="1" hidden="1" x14ac:dyDescent="0.25">
      <c r="A58" s="8">
        <v>18</v>
      </c>
      <c r="B58" s="1">
        <f>VLOOKUP(E58,'[2]Peajes (1)'!$A:$D,4,0)</f>
        <v>3871</v>
      </c>
      <c r="C58" s="8" t="s">
        <v>26</v>
      </c>
      <c r="D58" s="8" t="s">
        <v>27</v>
      </c>
      <c r="E58" s="8" t="s">
        <v>29</v>
      </c>
      <c r="F58" s="11">
        <v>483474600</v>
      </c>
      <c r="G58" s="11">
        <v>576078600</v>
      </c>
      <c r="H58" s="11">
        <v>689395600</v>
      </c>
      <c r="I58" s="11">
        <v>638467600</v>
      </c>
      <c r="J58" s="11">
        <v>680755500</v>
      </c>
      <c r="K58" s="11">
        <v>548841950</v>
      </c>
      <c r="L58" s="11">
        <v>550113600</v>
      </c>
      <c r="M58" s="11">
        <v>667430600</v>
      </c>
      <c r="N58" s="11">
        <v>615005500</v>
      </c>
      <c r="O58" s="11">
        <v>579259200</v>
      </c>
      <c r="P58" s="11">
        <v>598408100</v>
      </c>
      <c r="Q58" s="11">
        <v>584588100</v>
      </c>
      <c r="R58" s="11">
        <v>502552800</v>
      </c>
      <c r="S58" s="11">
        <v>625779400</v>
      </c>
      <c r="T58" s="11">
        <v>705327700</v>
      </c>
      <c r="U58" s="11">
        <v>624042900</v>
      </c>
      <c r="V58" s="11">
        <v>743971500</v>
      </c>
      <c r="W58" s="11">
        <v>675878200</v>
      </c>
      <c r="X58" s="11">
        <v>649836100</v>
      </c>
      <c r="Y58" s="11">
        <v>758773800</v>
      </c>
      <c r="Z58" s="11">
        <v>738409200</v>
      </c>
      <c r="AA58" s="11">
        <v>823422300</v>
      </c>
      <c r="AB58" s="11">
        <v>800711100</v>
      </c>
      <c r="AC58" s="11">
        <v>807579500</v>
      </c>
      <c r="AD58" s="11">
        <v>690110300</v>
      </c>
      <c r="AE58" s="11">
        <v>793955100</v>
      </c>
      <c r="AF58" s="11">
        <v>816152300</v>
      </c>
      <c r="AG58" s="11">
        <v>863914800</v>
      </c>
      <c r="AH58" s="11">
        <v>887532000</v>
      </c>
      <c r="AI58" s="11">
        <v>794106000</v>
      </c>
      <c r="AJ58" s="11">
        <v>733383700</v>
      </c>
      <c r="AK58" s="11">
        <v>853357900</v>
      </c>
      <c r="AL58" s="11">
        <v>892875200</v>
      </c>
      <c r="AM58" s="11">
        <v>854110200</v>
      </c>
      <c r="AN58" s="11">
        <v>867401500</v>
      </c>
      <c r="AO58" s="11">
        <v>879384800</v>
      </c>
      <c r="AP58" s="11">
        <v>735601500</v>
      </c>
      <c r="AQ58" s="11">
        <v>885481400</v>
      </c>
      <c r="AR58" s="11">
        <v>1001671200</v>
      </c>
      <c r="AS58" s="11">
        <v>857421900</v>
      </c>
      <c r="AT58" s="11">
        <v>898013000</v>
      </c>
      <c r="AU58" s="11">
        <v>807393700</v>
      </c>
      <c r="AV58" s="11">
        <v>766153987</v>
      </c>
      <c r="AW58" s="11">
        <v>905322200</v>
      </c>
      <c r="AX58" s="11">
        <v>851966900</v>
      </c>
      <c r="AY58" s="11">
        <v>842269800</v>
      </c>
      <c r="AZ58" s="11">
        <v>866421600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</row>
    <row r="59" spans="1:65" s="10" customFormat="1" hidden="1" x14ac:dyDescent="0.25">
      <c r="A59" s="8">
        <v>113</v>
      </c>
      <c r="B59" s="1">
        <f>VLOOKUP(E59,'[2]Peajes (1)'!$A:$D,4,0)</f>
        <v>3871</v>
      </c>
      <c r="C59" s="8" t="s">
        <v>175</v>
      </c>
      <c r="D59" s="8" t="s">
        <v>176</v>
      </c>
      <c r="E59" s="8" t="s">
        <v>29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905829400</v>
      </c>
      <c r="BB59" s="11">
        <v>736880100</v>
      </c>
      <c r="BC59" s="11">
        <v>862149400</v>
      </c>
      <c r="BD59" s="11">
        <v>932348100</v>
      </c>
      <c r="BE59" s="11">
        <v>835540900</v>
      </c>
      <c r="BF59" s="11">
        <v>907037400</v>
      </c>
      <c r="BG59" s="11">
        <v>885423600</v>
      </c>
      <c r="BH59" s="11">
        <v>826186000</v>
      </c>
      <c r="BI59" s="11">
        <v>1092841100</v>
      </c>
      <c r="BJ59" s="11">
        <v>1105375900</v>
      </c>
      <c r="BK59" s="11">
        <v>1042015800</v>
      </c>
      <c r="BL59" s="11">
        <v>1060943200</v>
      </c>
      <c r="BM59" s="11">
        <v>1109065100</v>
      </c>
    </row>
    <row r="60" spans="1:65" s="10" customFormat="1" x14ac:dyDescent="0.25">
      <c r="A60" s="8">
        <v>113</v>
      </c>
      <c r="B60" s="1">
        <f>VLOOKUP(E60,'[2]Peajes (1)'!$A:$D,4,0)</f>
        <v>3871</v>
      </c>
      <c r="C60" s="8" t="s">
        <v>175</v>
      </c>
      <c r="D60" s="8" t="s">
        <v>176</v>
      </c>
      <c r="E60" s="8" t="s">
        <v>29</v>
      </c>
      <c r="F60" s="11">
        <f>SUM(F58:F59)</f>
        <v>483474600</v>
      </c>
      <c r="G60" s="11">
        <f t="shared" ref="G60:BM60" si="50">SUM(G58:G59)</f>
        <v>576078600</v>
      </c>
      <c r="H60" s="11">
        <f t="shared" si="50"/>
        <v>689395600</v>
      </c>
      <c r="I60" s="11">
        <f t="shared" si="50"/>
        <v>638467600</v>
      </c>
      <c r="J60" s="11">
        <f t="shared" si="50"/>
        <v>680755500</v>
      </c>
      <c r="K60" s="11">
        <f t="shared" si="50"/>
        <v>548841950</v>
      </c>
      <c r="L60" s="11">
        <f t="shared" si="50"/>
        <v>550113600</v>
      </c>
      <c r="M60" s="11">
        <f t="shared" si="50"/>
        <v>667430600</v>
      </c>
      <c r="N60" s="11">
        <f t="shared" si="50"/>
        <v>615005500</v>
      </c>
      <c r="O60" s="11">
        <f t="shared" si="50"/>
        <v>579259200</v>
      </c>
      <c r="P60" s="11">
        <f t="shared" si="50"/>
        <v>598408100</v>
      </c>
      <c r="Q60" s="11">
        <f t="shared" si="50"/>
        <v>584588100</v>
      </c>
      <c r="R60" s="11">
        <f t="shared" si="50"/>
        <v>502552800</v>
      </c>
      <c r="S60" s="11">
        <f t="shared" si="50"/>
        <v>625779400</v>
      </c>
      <c r="T60" s="11">
        <f t="shared" si="50"/>
        <v>705327700</v>
      </c>
      <c r="U60" s="11">
        <f t="shared" si="50"/>
        <v>624042900</v>
      </c>
      <c r="V60" s="11">
        <f t="shared" si="50"/>
        <v>743971500</v>
      </c>
      <c r="W60" s="11">
        <f t="shared" si="50"/>
        <v>675878200</v>
      </c>
      <c r="X60" s="11">
        <f t="shared" si="50"/>
        <v>649836100</v>
      </c>
      <c r="Y60" s="11">
        <f t="shared" si="50"/>
        <v>758773800</v>
      </c>
      <c r="Z60" s="11">
        <f t="shared" si="50"/>
        <v>738409200</v>
      </c>
      <c r="AA60" s="11">
        <f t="shared" si="50"/>
        <v>823422300</v>
      </c>
      <c r="AB60" s="11">
        <f t="shared" si="50"/>
        <v>800711100</v>
      </c>
      <c r="AC60" s="11">
        <f t="shared" si="50"/>
        <v>807579500</v>
      </c>
      <c r="AD60" s="11">
        <f t="shared" si="50"/>
        <v>690110300</v>
      </c>
      <c r="AE60" s="11">
        <f t="shared" si="50"/>
        <v>793955100</v>
      </c>
      <c r="AF60" s="11">
        <f t="shared" si="50"/>
        <v>816152300</v>
      </c>
      <c r="AG60" s="11">
        <f t="shared" si="50"/>
        <v>863914800</v>
      </c>
      <c r="AH60" s="11">
        <f t="shared" si="50"/>
        <v>887532000</v>
      </c>
      <c r="AI60" s="11">
        <f t="shared" si="50"/>
        <v>794106000</v>
      </c>
      <c r="AJ60" s="11">
        <f t="shared" si="50"/>
        <v>733383700</v>
      </c>
      <c r="AK60" s="11">
        <f t="shared" si="50"/>
        <v>853357900</v>
      </c>
      <c r="AL60" s="11">
        <f t="shared" si="50"/>
        <v>892875200</v>
      </c>
      <c r="AM60" s="11">
        <f t="shared" si="50"/>
        <v>854110200</v>
      </c>
      <c r="AN60" s="11">
        <f t="shared" si="50"/>
        <v>867401500</v>
      </c>
      <c r="AO60" s="11">
        <f t="shared" si="50"/>
        <v>879384800</v>
      </c>
      <c r="AP60" s="11">
        <f t="shared" si="50"/>
        <v>735601500</v>
      </c>
      <c r="AQ60" s="11">
        <f t="shared" si="50"/>
        <v>885481400</v>
      </c>
      <c r="AR60" s="11">
        <f t="shared" si="50"/>
        <v>1001671200</v>
      </c>
      <c r="AS60" s="11">
        <f t="shared" si="50"/>
        <v>857421900</v>
      </c>
      <c r="AT60" s="11">
        <f t="shared" si="50"/>
        <v>898013000</v>
      </c>
      <c r="AU60" s="11">
        <f t="shared" si="50"/>
        <v>807393700</v>
      </c>
      <c r="AV60" s="11">
        <f t="shared" si="50"/>
        <v>766153987</v>
      </c>
      <c r="AW60" s="11">
        <f t="shared" si="50"/>
        <v>905322200</v>
      </c>
      <c r="AX60" s="11">
        <f t="shared" si="50"/>
        <v>851966900</v>
      </c>
      <c r="AY60" s="11">
        <f t="shared" si="50"/>
        <v>842269800</v>
      </c>
      <c r="AZ60" s="11">
        <f t="shared" si="50"/>
        <v>866421600</v>
      </c>
      <c r="BA60" s="11">
        <f t="shared" si="50"/>
        <v>905829400</v>
      </c>
      <c r="BB60" s="11">
        <f t="shared" si="50"/>
        <v>736880100</v>
      </c>
      <c r="BC60" s="11">
        <f t="shared" si="50"/>
        <v>862149400</v>
      </c>
      <c r="BD60" s="11">
        <f t="shared" si="50"/>
        <v>932348100</v>
      </c>
      <c r="BE60" s="11">
        <f t="shared" si="50"/>
        <v>835540900</v>
      </c>
      <c r="BF60" s="11">
        <f t="shared" si="50"/>
        <v>907037400</v>
      </c>
      <c r="BG60" s="11">
        <f t="shared" si="50"/>
        <v>885423600</v>
      </c>
      <c r="BH60" s="11">
        <f t="shared" si="50"/>
        <v>826186000</v>
      </c>
      <c r="BI60" s="11">
        <f t="shared" si="50"/>
        <v>1092841100</v>
      </c>
      <c r="BJ60" s="11">
        <f t="shared" si="50"/>
        <v>1105375900</v>
      </c>
      <c r="BK60" s="11">
        <f t="shared" si="50"/>
        <v>1042015800</v>
      </c>
      <c r="BL60" s="11">
        <f t="shared" si="50"/>
        <v>1060943200</v>
      </c>
      <c r="BM60" s="11">
        <f t="shared" si="50"/>
        <v>1109065100</v>
      </c>
    </row>
    <row r="61" spans="1:65" s="10" customFormat="1" hidden="1" x14ac:dyDescent="0.25">
      <c r="A61" s="8">
        <v>71</v>
      </c>
      <c r="B61" s="1">
        <f>VLOOKUP(E61,'[2]Peajes (1)'!$A:$D,4,0)</f>
        <v>3805</v>
      </c>
      <c r="C61" s="8" t="s">
        <v>100</v>
      </c>
      <c r="D61" s="8" t="s">
        <v>101</v>
      </c>
      <c r="E61" s="8" t="s">
        <v>103</v>
      </c>
      <c r="F61" s="11">
        <v>1772956200</v>
      </c>
      <c r="G61" s="11">
        <v>1687895500</v>
      </c>
      <c r="H61" s="11">
        <v>1849967400</v>
      </c>
      <c r="I61" s="11">
        <v>1782074800</v>
      </c>
      <c r="J61" s="11">
        <v>1864055700</v>
      </c>
      <c r="K61" s="11">
        <v>1711468900</v>
      </c>
      <c r="L61" s="11">
        <v>1821456600</v>
      </c>
      <c r="M61" s="11">
        <v>1740976700</v>
      </c>
      <c r="N61" s="11">
        <v>1713064400</v>
      </c>
      <c r="O61" s="11">
        <v>1797353300</v>
      </c>
      <c r="P61" s="11">
        <v>1761152200</v>
      </c>
      <c r="Q61" s="11">
        <v>1905002300</v>
      </c>
      <c r="R61" s="11">
        <v>1835390100</v>
      </c>
      <c r="S61" s="11">
        <v>1760782800</v>
      </c>
      <c r="T61" s="11">
        <v>1994604800</v>
      </c>
      <c r="U61" s="11">
        <v>1913023200</v>
      </c>
      <c r="V61" s="11">
        <v>1906135100</v>
      </c>
      <c r="W61" s="11">
        <v>1902525300</v>
      </c>
      <c r="X61" s="11">
        <v>2046890600</v>
      </c>
      <c r="Y61" s="11">
        <v>2055113900</v>
      </c>
      <c r="Z61" s="11">
        <v>2011274500</v>
      </c>
      <c r="AA61" s="11">
        <v>2175520500</v>
      </c>
      <c r="AB61" s="11">
        <v>2109429200</v>
      </c>
      <c r="AC61" s="11">
        <v>2274687400</v>
      </c>
      <c r="AD61" s="11">
        <v>2143339600</v>
      </c>
      <c r="AE61" s="11">
        <v>2016773500</v>
      </c>
      <c r="AF61" s="11">
        <v>2212686700</v>
      </c>
      <c r="AG61" s="11">
        <v>2047208700</v>
      </c>
      <c r="AH61" s="11">
        <v>2062395500</v>
      </c>
      <c r="AI61" s="11">
        <v>2008626900</v>
      </c>
      <c r="AJ61" s="11">
        <v>2053881000</v>
      </c>
      <c r="AK61" s="11">
        <v>2088896100</v>
      </c>
      <c r="AL61" s="11">
        <v>2022139200</v>
      </c>
      <c r="AM61" s="11">
        <v>2068814200</v>
      </c>
      <c r="AN61" s="11">
        <v>2049153900</v>
      </c>
      <c r="AO61" s="11">
        <v>2263443700</v>
      </c>
      <c r="AP61" s="11">
        <v>2131275300</v>
      </c>
      <c r="AQ61" s="11">
        <v>2010671800</v>
      </c>
      <c r="AR61" s="11">
        <v>2291416500</v>
      </c>
      <c r="AS61" s="11">
        <v>2133969500</v>
      </c>
      <c r="AT61" s="11">
        <v>2155441600</v>
      </c>
      <c r="AU61" s="11">
        <v>2133416200</v>
      </c>
      <c r="AV61" s="11">
        <v>2280698700</v>
      </c>
      <c r="AW61" s="11">
        <v>2342963300</v>
      </c>
      <c r="AX61" s="11">
        <v>2157705500</v>
      </c>
      <c r="AY61" s="11">
        <v>2213953800</v>
      </c>
      <c r="AZ61" s="11">
        <v>2241458500</v>
      </c>
      <c r="BA61" s="11">
        <v>2360279600</v>
      </c>
      <c r="BB61" s="11">
        <v>2277150900</v>
      </c>
      <c r="BC61" s="11">
        <v>2072462700</v>
      </c>
      <c r="BD61" s="11">
        <v>2401524900</v>
      </c>
      <c r="BE61" s="11">
        <v>2321275000</v>
      </c>
      <c r="BF61" s="11">
        <v>2302366300</v>
      </c>
      <c r="BG61" s="11">
        <v>2219262100</v>
      </c>
      <c r="BH61" s="11">
        <v>2311715300</v>
      </c>
      <c r="BI61" s="11">
        <v>2402966700</v>
      </c>
      <c r="BJ61" s="11">
        <v>2287948700</v>
      </c>
      <c r="BK61" s="11">
        <v>2312571100</v>
      </c>
      <c r="BL61" s="11">
        <v>2257300500</v>
      </c>
      <c r="BM61" s="11">
        <v>2401332900</v>
      </c>
    </row>
    <row r="62" spans="1:65" s="10" customFormat="1" hidden="1" x14ac:dyDescent="0.25">
      <c r="A62" s="8">
        <v>105</v>
      </c>
      <c r="B62" s="1">
        <f>VLOOKUP(E62,'[2]Peajes (1)'!$A:$D,4,0)</f>
        <v>3805</v>
      </c>
      <c r="C62" s="8" t="s">
        <v>163</v>
      </c>
      <c r="D62" s="8" t="s">
        <v>164</v>
      </c>
      <c r="E62" s="8" t="s">
        <v>103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88497500</v>
      </c>
    </row>
    <row r="63" spans="1:65" s="10" customFormat="1" x14ac:dyDescent="0.25">
      <c r="A63" s="8">
        <v>105</v>
      </c>
      <c r="B63" s="1">
        <f>VLOOKUP(E63,'[2]Peajes (1)'!$A:$D,4,0)</f>
        <v>3805</v>
      </c>
      <c r="C63" s="8" t="s">
        <v>163</v>
      </c>
      <c r="D63" s="8" t="s">
        <v>164</v>
      </c>
      <c r="E63" s="8" t="s">
        <v>103</v>
      </c>
      <c r="F63" s="11">
        <f>SUM(F61:F62)</f>
        <v>1772956200</v>
      </c>
      <c r="G63" s="11">
        <f t="shared" ref="G63:BM63" si="51">SUM(G61:G62)</f>
        <v>1687895500</v>
      </c>
      <c r="H63" s="11">
        <f t="shared" si="51"/>
        <v>1849967400</v>
      </c>
      <c r="I63" s="11">
        <f t="shared" si="51"/>
        <v>1782074800</v>
      </c>
      <c r="J63" s="11">
        <f t="shared" si="51"/>
        <v>1864055700</v>
      </c>
      <c r="K63" s="11">
        <f t="shared" si="51"/>
        <v>1711468900</v>
      </c>
      <c r="L63" s="11">
        <f t="shared" si="51"/>
        <v>1821456600</v>
      </c>
      <c r="M63" s="11">
        <f t="shared" si="51"/>
        <v>1740976700</v>
      </c>
      <c r="N63" s="11">
        <f t="shared" si="51"/>
        <v>1713064400</v>
      </c>
      <c r="O63" s="11">
        <f t="shared" si="51"/>
        <v>1797353300</v>
      </c>
      <c r="P63" s="11">
        <f t="shared" si="51"/>
        <v>1761152200</v>
      </c>
      <c r="Q63" s="11">
        <f t="shared" si="51"/>
        <v>1905002300</v>
      </c>
      <c r="R63" s="11">
        <f t="shared" si="51"/>
        <v>1835390100</v>
      </c>
      <c r="S63" s="11">
        <f t="shared" si="51"/>
        <v>1760782800</v>
      </c>
      <c r="T63" s="11">
        <f t="shared" si="51"/>
        <v>1994604800</v>
      </c>
      <c r="U63" s="11">
        <f t="shared" si="51"/>
        <v>1913023200</v>
      </c>
      <c r="V63" s="11">
        <f t="shared" si="51"/>
        <v>1906135100</v>
      </c>
      <c r="W63" s="11">
        <f t="shared" si="51"/>
        <v>1902525300</v>
      </c>
      <c r="X63" s="11">
        <f t="shared" si="51"/>
        <v>2046890600</v>
      </c>
      <c r="Y63" s="11">
        <f t="shared" si="51"/>
        <v>2055113900</v>
      </c>
      <c r="Z63" s="11">
        <f t="shared" si="51"/>
        <v>2011274500</v>
      </c>
      <c r="AA63" s="11">
        <f t="shared" si="51"/>
        <v>2175520500</v>
      </c>
      <c r="AB63" s="11">
        <f t="shared" si="51"/>
        <v>2109429200</v>
      </c>
      <c r="AC63" s="11">
        <f t="shared" si="51"/>
        <v>2274687400</v>
      </c>
      <c r="AD63" s="11">
        <f t="shared" si="51"/>
        <v>2143339600</v>
      </c>
      <c r="AE63" s="11">
        <f t="shared" si="51"/>
        <v>2016773500</v>
      </c>
      <c r="AF63" s="11">
        <f t="shared" si="51"/>
        <v>2212686700</v>
      </c>
      <c r="AG63" s="11">
        <f t="shared" si="51"/>
        <v>2047208700</v>
      </c>
      <c r="AH63" s="11">
        <f t="shared" si="51"/>
        <v>2062395500</v>
      </c>
      <c r="AI63" s="11">
        <f t="shared" si="51"/>
        <v>2008626900</v>
      </c>
      <c r="AJ63" s="11">
        <f t="shared" si="51"/>
        <v>2053881000</v>
      </c>
      <c r="AK63" s="11">
        <f t="shared" si="51"/>
        <v>2088896100</v>
      </c>
      <c r="AL63" s="11">
        <f t="shared" si="51"/>
        <v>2022139200</v>
      </c>
      <c r="AM63" s="11">
        <f t="shared" si="51"/>
        <v>2068814200</v>
      </c>
      <c r="AN63" s="11">
        <f t="shared" si="51"/>
        <v>2049153900</v>
      </c>
      <c r="AO63" s="11">
        <f t="shared" si="51"/>
        <v>2263443700</v>
      </c>
      <c r="AP63" s="11">
        <f t="shared" si="51"/>
        <v>2131275300</v>
      </c>
      <c r="AQ63" s="11">
        <f t="shared" si="51"/>
        <v>2010671800</v>
      </c>
      <c r="AR63" s="11">
        <f t="shared" si="51"/>
        <v>2291416500</v>
      </c>
      <c r="AS63" s="11">
        <f t="shared" si="51"/>
        <v>2133969500</v>
      </c>
      <c r="AT63" s="11">
        <f t="shared" si="51"/>
        <v>2155441600</v>
      </c>
      <c r="AU63" s="11">
        <f t="shared" si="51"/>
        <v>2133416200</v>
      </c>
      <c r="AV63" s="11">
        <f t="shared" si="51"/>
        <v>2280698700</v>
      </c>
      <c r="AW63" s="11">
        <f t="shared" si="51"/>
        <v>2342963300</v>
      </c>
      <c r="AX63" s="11">
        <f t="shared" si="51"/>
        <v>2157705500</v>
      </c>
      <c r="AY63" s="11">
        <f t="shared" si="51"/>
        <v>2213953800</v>
      </c>
      <c r="AZ63" s="11">
        <f t="shared" si="51"/>
        <v>2241458500</v>
      </c>
      <c r="BA63" s="11">
        <f t="shared" si="51"/>
        <v>2360279600</v>
      </c>
      <c r="BB63" s="11">
        <f t="shared" si="51"/>
        <v>2277150900</v>
      </c>
      <c r="BC63" s="11">
        <f t="shared" si="51"/>
        <v>2072462700</v>
      </c>
      <c r="BD63" s="11">
        <f t="shared" si="51"/>
        <v>2401524900</v>
      </c>
      <c r="BE63" s="11">
        <f t="shared" si="51"/>
        <v>2321275000</v>
      </c>
      <c r="BF63" s="11">
        <f t="shared" si="51"/>
        <v>2302366300</v>
      </c>
      <c r="BG63" s="11">
        <f t="shared" si="51"/>
        <v>2219262100</v>
      </c>
      <c r="BH63" s="11">
        <f t="shared" si="51"/>
        <v>2311715300</v>
      </c>
      <c r="BI63" s="11">
        <f t="shared" si="51"/>
        <v>2402966700</v>
      </c>
      <c r="BJ63" s="11">
        <f t="shared" si="51"/>
        <v>2287948700</v>
      </c>
      <c r="BK63" s="11">
        <f t="shared" si="51"/>
        <v>2312571100</v>
      </c>
      <c r="BL63" s="11">
        <f t="shared" si="51"/>
        <v>2257300500</v>
      </c>
      <c r="BM63" s="11">
        <f t="shared" si="51"/>
        <v>2489830400</v>
      </c>
    </row>
    <row r="64" spans="1:65" x14ac:dyDescent="0.25">
      <c r="A64" s="1">
        <v>79</v>
      </c>
      <c r="B64" s="1">
        <f>VLOOKUP(E64,'[2]Peajes (1)'!$A:$D,4,0)</f>
        <v>3890</v>
      </c>
      <c r="C64" s="3" t="s">
        <v>112</v>
      </c>
      <c r="D64" s="3" t="s">
        <v>113</v>
      </c>
      <c r="E64" s="3" t="s">
        <v>115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>
        <v>0</v>
      </c>
      <c r="AE64" s="4">
        <v>0</v>
      </c>
      <c r="AF64" s="4">
        <v>0</v>
      </c>
      <c r="AG64" s="4">
        <v>15697200</v>
      </c>
      <c r="AH64" s="4">
        <v>27052700</v>
      </c>
      <c r="AI64" s="4">
        <v>18442400</v>
      </c>
      <c r="AJ64" s="4">
        <v>16223200</v>
      </c>
      <c r="AK64" s="4">
        <v>57026900</v>
      </c>
      <c r="AL64" s="4">
        <v>104667700</v>
      </c>
      <c r="AM64" s="4">
        <v>40580900</v>
      </c>
      <c r="AN64" s="4">
        <v>61982200</v>
      </c>
      <c r="AO64" s="4">
        <v>34759400</v>
      </c>
      <c r="AP64" s="4">
        <v>28720700</v>
      </c>
      <c r="AQ64" s="4">
        <v>30216900</v>
      </c>
      <c r="AR64" s="4">
        <v>37846000</v>
      </c>
      <c r="AS64" s="4">
        <v>49364800</v>
      </c>
      <c r="AT64" s="4">
        <v>21857400</v>
      </c>
      <c r="AU64" s="4">
        <v>10378000</v>
      </c>
      <c r="AV64" s="4">
        <v>26562300</v>
      </c>
      <c r="AW64" s="4">
        <v>28713300</v>
      </c>
      <c r="AX64" s="4">
        <v>34329300</v>
      </c>
      <c r="AY64" s="4">
        <v>38872700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</row>
    <row r="65" spans="1:65" x14ac:dyDescent="0.25">
      <c r="A65" s="1">
        <v>72</v>
      </c>
      <c r="B65" s="1">
        <f>VLOOKUP(E65,'[2]Peajes (1)'!$A:$D,4,0)</f>
        <v>3917</v>
      </c>
      <c r="C65" s="3" t="s">
        <v>100</v>
      </c>
      <c r="D65" s="3" t="s">
        <v>101</v>
      </c>
      <c r="E65" s="3" t="s">
        <v>104</v>
      </c>
      <c r="F65" s="4">
        <v>1699570300</v>
      </c>
      <c r="G65" s="4">
        <v>1421498900</v>
      </c>
      <c r="H65" s="4">
        <v>1562382900</v>
      </c>
      <c r="I65" s="4">
        <v>1670860800</v>
      </c>
      <c r="J65" s="4">
        <v>1548039700</v>
      </c>
      <c r="K65" s="4">
        <v>1504541500</v>
      </c>
      <c r="L65" s="4">
        <v>1642930700</v>
      </c>
      <c r="M65" s="4">
        <v>1620292500</v>
      </c>
      <c r="N65" s="4">
        <v>1558720600</v>
      </c>
      <c r="O65" s="4">
        <v>1678558100</v>
      </c>
      <c r="P65" s="4">
        <v>1549003900</v>
      </c>
      <c r="Q65" s="4">
        <v>1834434400</v>
      </c>
      <c r="R65" s="4">
        <v>1944428200</v>
      </c>
      <c r="S65" s="4">
        <v>1617618800</v>
      </c>
      <c r="T65" s="4">
        <v>1646067500</v>
      </c>
      <c r="U65" s="4">
        <v>1793451050</v>
      </c>
      <c r="V65" s="4">
        <v>1757438100</v>
      </c>
      <c r="W65" s="4">
        <v>1756266100</v>
      </c>
      <c r="X65" s="4">
        <v>1909757000</v>
      </c>
      <c r="Y65" s="4">
        <v>1834359900</v>
      </c>
      <c r="Z65" s="4">
        <v>1789266900</v>
      </c>
      <c r="AA65" s="4">
        <v>1977443200</v>
      </c>
      <c r="AB65" s="4">
        <v>1865365410</v>
      </c>
      <c r="AC65" s="4">
        <v>2047968600</v>
      </c>
      <c r="AD65" s="4">
        <v>2298101400</v>
      </c>
      <c r="AE65" s="4">
        <v>1999879700</v>
      </c>
      <c r="AF65" s="4">
        <v>2145944250</v>
      </c>
      <c r="AG65" s="4">
        <v>1939218100</v>
      </c>
      <c r="AH65" s="4">
        <v>1874052400</v>
      </c>
      <c r="AI65" s="4">
        <v>1809418500</v>
      </c>
      <c r="AJ65" s="4">
        <v>1779378200</v>
      </c>
      <c r="AK65" s="4">
        <v>2022578800</v>
      </c>
      <c r="AL65" s="4">
        <v>1857175400</v>
      </c>
      <c r="AM65" s="4">
        <v>1897802600</v>
      </c>
      <c r="AN65" s="4">
        <v>1891097500</v>
      </c>
      <c r="AO65" s="4">
        <v>2101467300</v>
      </c>
      <c r="AP65" s="4">
        <v>2206714000</v>
      </c>
      <c r="AQ65" s="4">
        <v>1805802400</v>
      </c>
      <c r="AR65" s="4">
        <v>2028825000</v>
      </c>
      <c r="AS65" s="4">
        <v>2107112800</v>
      </c>
      <c r="AT65" s="4">
        <v>2019528900</v>
      </c>
      <c r="AU65" s="4">
        <v>2088403500</v>
      </c>
      <c r="AV65" s="4">
        <v>2111623300</v>
      </c>
      <c r="AW65" s="4">
        <v>2051477200</v>
      </c>
      <c r="AX65" s="4">
        <v>1970322700</v>
      </c>
      <c r="AY65" s="4">
        <v>2051505100</v>
      </c>
      <c r="AZ65" s="4">
        <v>2025524700</v>
      </c>
      <c r="BA65" s="4">
        <v>2285875000</v>
      </c>
      <c r="BB65" s="4">
        <v>2399195600</v>
      </c>
      <c r="BC65" s="4">
        <v>1967943500</v>
      </c>
      <c r="BD65" s="4">
        <v>2289839300</v>
      </c>
      <c r="BE65" s="4">
        <v>2180232600</v>
      </c>
      <c r="BF65" s="4">
        <v>2101520600</v>
      </c>
      <c r="BG65" s="4">
        <v>2114718600</v>
      </c>
      <c r="BH65" s="4">
        <v>2214903000</v>
      </c>
      <c r="BI65" s="4">
        <v>2240146400</v>
      </c>
      <c r="BJ65" s="4">
        <v>2134612800</v>
      </c>
      <c r="BK65" s="4">
        <v>2262376350</v>
      </c>
      <c r="BL65" s="4">
        <v>2157495500</v>
      </c>
      <c r="BM65" s="4">
        <v>2430658600</v>
      </c>
    </row>
    <row r="66" spans="1:65" x14ac:dyDescent="0.25">
      <c r="A66" s="1">
        <v>65</v>
      </c>
      <c r="B66" s="1">
        <f>VLOOKUP(E66,'[2]Peajes (1)'!$A:$D,4,0)</f>
        <v>3814</v>
      </c>
      <c r="C66" s="3" t="s">
        <v>88</v>
      </c>
      <c r="D66" s="3" t="s">
        <v>89</v>
      </c>
      <c r="E66" s="3" t="s">
        <v>91</v>
      </c>
      <c r="F66" s="4">
        <v>4921454000</v>
      </c>
      <c r="G66" s="4">
        <v>4156715700</v>
      </c>
      <c r="H66" s="4">
        <v>4378570100</v>
      </c>
      <c r="I66" s="4">
        <v>4655506700</v>
      </c>
      <c r="J66" s="4">
        <v>4560191300</v>
      </c>
      <c r="K66" s="4">
        <v>4692615900</v>
      </c>
      <c r="L66" s="4">
        <v>5034156500</v>
      </c>
      <c r="M66" s="4">
        <v>4790299700</v>
      </c>
      <c r="N66" s="4">
        <v>4513149900</v>
      </c>
      <c r="O66" s="4">
        <v>4897761100</v>
      </c>
      <c r="P66" s="4">
        <v>5045733600</v>
      </c>
      <c r="Q66" s="4">
        <v>5337355700</v>
      </c>
      <c r="R66" s="4">
        <v>5216899700</v>
      </c>
      <c r="S66" s="4">
        <v>4360585750</v>
      </c>
      <c r="T66" s="4">
        <v>4722687350</v>
      </c>
      <c r="U66" s="4">
        <v>4922285700</v>
      </c>
      <c r="V66" s="4">
        <v>4916627700</v>
      </c>
      <c r="W66" s="4">
        <v>5122557600</v>
      </c>
      <c r="X66" s="4">
        <v>5313328500</v>
      </c>
      <c r="Y66" s="4">
        <v>5058907500</v>
      </c>
      <c r="Z66" s="4">
        <v>4882282000</v>
      </c>
      <c r="AA66" s="4">
        <v>5255728100</v>
      </c>
      <c r="AB66" s="4">
        <v>4952491700</v>
      </c>
      <c r="AC66" s="4">
        <v>5818570800</v>
      </c>
      <c r="AD66" s="4">
        <v>5788331300</v>
      </c>
      <c r="AE66" s="4">
        <v>4718780100</v>
      </c>
      <c r="AF66" s="4">
        <v>5518160600</v>
      </c>
      <c r="AG66" s="4">
        <v>5067527150</v>
      </c>
      <c r="AH66" s="4">
        <v>5234249600</v>
      </c>
      <c r="AI66" s="4">
        <v>5019710350</v>
      </c>
      <c r="AJ66" s="4">
        <v>5110514700</v>
      </c>
      <c r="AK66" s="4">
        <v>5771383400</v>
      </c>
      <c r="AL66" s="4">
        <v>5228181300</v>
      </c>
      <c r="AM66" s="4">
        <v>5575126150</v>
      </c>
      <c r="AN66" s="4">
        <v>5416282000</v>
      </c>
      <c r="AO66" s="4">
        <v>6169367700</v>
      </c>
      <c r="AP66" s="4">
        <v>6133805000</v>
      </c>
      <c r="AQ66" s="4">
        <v>4966076000</v>
      </c>
      <c r="AR66" s="4">
        <v>5415023100</v>
      </c>
      <c r="AS66" s="4">
        <v>5666662100</v>
      </c>
      <c r="AT66" s="4">
        <v>5109976400</v>
      </c>
      <c r="AU66" s="4">
        <v>5861398500</v>
      </c>
      <c r="AV66" s="4">
        <v>6082154100</v>
      </c>
      <c r="AW66" s="4">
        <v>5838842500</v>
      </c>
      <c r="AX66" s="4">
        <v>5614300000</v>
      </c>
      <c r="AY66" s="4">
        <v>5949070600</v>
      </c>
      <c r="AZ66" s="4">
        <v>5694743050</v>
      </c>
      <c r="BA66" s="4">
        <v>6576546900</v>
      </c>
      <c r="BB66" s="4">
        <v>6546187400</v>
      </c>
      <c r="BC66" s="4">
        <v>5220356200</v>
      </c>
      <c r="BD66" s="4">
        <v>5925743250</v>
      </c>
      <c r="BE66" s="4">
        <v>5584007500</v>
      </c>
      <c r="BF66" s="4">
        <v>5646513900</v>
      </c>
      <c r="BG66" s="4">
        <v>5936835600</v>
      </c>
      <c r="BH66" s="4">
        <v>6139896500</v>
      </c>
      <c r="BI66" s="4">
        <v>6016669900</v>
      </c>
      <c r="BJ66" s="4">
        <v>5633204800</v>
      </c>
      <c r="BK66" s="4">
        <v>6245807200</v>
      </c>
      <c r="BL66" s="4">
        <v>6017040700</v>
      </c>
      <c r="BM66" s="4">
        <v>6624293800</v>
      </c>
    </row>
    <row r="67" spans="1:65" x14ac:dyDescent="0.25">
      <c r="A67" s="1">
        <v>21</v>
      </c>
      <c r="B67" s="1">
        <f>VLOOKUP(E67,'[2]Peajes (1)'!$A:$D,4,0)</f>
        <v>3858</v>
      </c>
      <c r="C67" s="3" t="s">
        <v>31</v>
      </c>
      <c r="D67" s="3" t="s">
        <v>32</v>
      </c>
      <c r="E67" s="3" t="s">
        <v>34</v>
      </c>
      <c r="F67" s="4">
        <v>6904161700</v>
      </c>
      <c r="G67" s="4">
        <v>5802472600</v>
      </c>
      <c r="H67" s="4">
        <v>6407222300</v>
      </c>
      <c r="I67" s="4">
        <v>6361720200</v>
      </c>
      <c r="J67" s="4">
        <v>6372569400</v>
      </c>
      <c r="K67" s="4">
        <v>6510027400</v>
      </c>
      <c r="L67" s="4">
        <v>6635720300</v>
      </c>
      <c r="M67" s="4">
        <v>6819889400</v>
      </c>
      <c r="N67" s="4">
        <v>6361126800</v>
      </c>
      <c r="O67" s="4">
        <v>6712172900</v>
      </c>
      <c r="P67" s="4">
        <v>6543371700</v>
      </c>
      <c r="Q67" s="4">
        <v>7506808000</v>
      </c>
      <c r="R67" s="4">
        <v>7789992700</v>
      </c>
      <c r="S67" s="4">
        <v>6366331300</v>
      </c>
      <c r="T67" s="4">
        <v>6881570500</v>
      </c>
      <c r="U67" s="4">
        <v>6723195200</v>
      </c>
      <c r="V67" s="4">
        <v>7091551600</v>
      </c>
      <c r="W67" s="4">
        <v>7411617800</v>
      </c>
      <c r="X67" s="4">
        <v>7505532400</v>
      </c>
      <c r="Y67" s="4">
        <v>7633650700</v>
      </c>
      <c r="Z67" s="4">
        <v>7196661300</v>
      </c>
      <c r="AA67" s="4">
        <v>7581641800</v>
      </c>
      <c r="AB67" s="4">
        <v>7503450000</v>
      </c>
      <c r="AC67" s="4">
        <v>8571445500</v>
      </c>
      <c r="AD67" s="4">
        <v>9101842100</v>
      </c>
      <c r="AE67" s="4">
        <v>7656559900</v>
      </c>
      <c r="AF67" s="4">
        <v>8433963600</v>
      </c>
      <c r="AG67" s="4">
        <v>7765660000</v>
      </c>
      <c r="AH67" s="4">
        <v>8359895300</v>
      </c>
      <c r="AI67" s="4">
        <v>8125945900</v>
      </c>
      <c r="AJ67" s="4">
        <v>7880164700</v>
      </c>
      <c r="AK67" s="4">
        <v>9066145900</v>
      </c>
      <c r="AL67" s="4">
        <v>8251193800</v>
      </c>
      <c r="AM67" s="4">
        <v>7678974400</v>
      </c>
      <c r="AN67" s="4">
        <v>7253507600</v>
      </c>
      <c r="AO67" s="4">
        <v>8306219100</v>
      </c>
      <c r="AP67" s="4">
        <v>3646261000</v>
      </c>
      <c r="AQ67" s="4">
        <v>8013834600</v>
      </c>
      <c r="AR67" s="4">
        <v>8766227400</v>
      </c>
      <c r="AS67" s="4">
        <v>8827077200</v>
      </c>
      <c r="AT67" s="4">
        <v>8992837500</v>
      </c>
      <c r="AU67" s="4">
        <v>9099981800</v>
      </c>
      <c r="AV67" s="4">
        <v>9669897200</v>
      </c>
      <c r="AW67" s="4">
        <v>9614897200</v>
      </c>
      <c r="AX67" s="4">
        <v>8889648000</v>
      </c>
      <c r="AY67" s="4">
        <v>9300313600</v>
      </c>
      <c r="AZ67" s="4">
        <v>9382159500</v>
      </c>
      <c r="BA67" s="4">
        <v>10415413400</v>
      </c>
      <c r="BB67" s="4">
        <v>10725265200</v>
      </c>
      <c r="BC67" s="4">
        <v>9008453200</v>
      </c>
      <c r="BD67" s="4">
        <v>10061257800</v>
      </c>
      <c r="BE67" s="4">
        <v>9608647200</v>
      </c>
      <c r="BF67" s="4">
        <v>9756123700</v>
      </c>
      <c r="BG67" s="4">
        <v>10224871200</v>
      </c>
      <c r="BH67" s="4">
        <v>10648860000</v>
      </c>
      <c r="BI67" s="4">
        <v>10752452200</v>
      </c>
      <c r="BJ67" s="4">
        <v>10022595700</v>
      </c>
      <c r="BK67" s="4">
        <v>10505361800</v>
      </c>
      <c r="BL67" s="4">
        <v>10413150300</v>
      </c>
      <c r="BM67" s="4">
        <v>11713169300</v>
      </c>
    </row>
    <row r="68" spans="1:65" x14ac:dyDescent="0.25">
      <c r="A68" s="1">
        <v>111</v>
      </c>
      <c r="B68" s="1">
        <f>VLOOKUP(E68,'[2]Peajes (1)'!$A:$D,4,0)</f>
        <v>6404</v>
      </c>
      <c r="C68" s="3" t="s">
        <v>170</v>
      </c>
      <c r="D68" s="3" t="s">
        <v>171</v>
      </c>
      <c r="E68" s="3" t="s">
        <v>174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</row>
    <row r="69" spans="1:65" x14ac:dyDescent="0.25">
      <c r="A69" s="1">
        <v>124</v>
      </c>
      <c r="B69" s="1">
        <f>VLOOKUP(E69,'[2]Peajes (1)'!$A:$D,4,0)</f>
        <v>3940</v>
      </c>
      <c r="C69" s="3" t="s">
        <v>185</v>
      </c>
      <c r="D69" s="3" t="s">
        <v>186</v>
      </c>
      <c r="E69" s="3" t="s">
        <v>188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365594400</v>
      </c>
      <c r="Z69" s="4">
        <v>1049928350</v>
      </c>
      <c r="AA69" s="4">
        <v>1190627400</v>
      </c>
      <c r="AB69" s="4">
        <v>1128923200</v>
      </c>
      <c r="AC69" s="4">
        <v>1372678100</v>
      </c>
      <c r="AD69" s="4">
        <v>1484741050</v>
      </c>
      <c r="AE69" s="4">
        <v>1101970050</v>
      </c>
      <c r="AF69" s="4">
        <v>1308953600</v>
      </c>
      <c r="AG69" s="4">
        <v>1150965850</v>
      </c>
      <c r="AH69" s="4">
        <v>1186450800</v>
      </c>
      <c r="AI69" s="4">
        <v>1225321900</v>
      </c>
      <c r="AJ69" s="4">
        <v>1204650800</v>
      </c>
      <c r="AK69" s="4">
        <v>1330612400</v>
      </c>
      <c r="AL69" s="4">
        <v>1271621850</v>
      </c>
      <c r="AM69" s="4">
        <v>1767606400</v>
      </c>
      <c r="AN69" s="4">
        <v>1705278950</v>
      </c>
      <c r="AO69" s="4">
        <v>2025503500</v>
      </c>
      <c r="AP69" s="4">
        <v>2233237650</v>
      </c>
      <c r="AQ69" s="4">
        <v>1612955300</v>
      </c>
      <c r="AR69" s="4">
        <v>1751895600</v>
      </c>
      <c r="AS69" s="4">
        <v>1847840600</v>
      </c>
      <c r="AT69" s="4">
        <v>1689734200</v>
      </c>
      <c r="AU69" s="4">
        <v>1891191500</v>
      </c>
      <c r="AV69" s="4">
        <v>1888030900</v>
      </c>
      <c r="AW69" s="4">
        <v>1838363800</v>
      </c>
      <c r="AX69" s="4">
        <v>1697821600</v>
      </c>
      <c r="AY69" s="4">
        <v>1860381200</v>
      </c>
      <c r="AZ69" s="4">
        <v>1808280500</v>
      </c>
      <c r="BA69" s="4">
        <v>2137373250</v>
      </c>
      <c r="BB69" s="4">
        <v>2357807250</v>
      </c>
      <c r="BC69" s="4">
        <v>1701811850</v>
      </c>
      <c r="BD69" s="4">
        <v>2030168750</v>
      </c>
      <c r="BE69" s="4">
        <v>1825182800</v>
      </c>
      <c r="BF69" s="4">
        <v>1865132600</v>
      </c>
      <c r="BG69" s="4">
        <v>1983168900</v>
      </c>
      <c r="BH69" s="4">
        <v>2045994900</v>
      </c>
      <c r="BI69" s="4">
        <v>1967567350</v>
      </c>
      <c r="BJ69" s="4">
        <v>1821475500</v>
      </c>
      <c r="BK69" s="4">
        <v>1965847900</v>
      </c>
      <c r="BL69" s="4">
        <v>1834830500</v>
      </c>
      <c r="BM69" s="4">
        <v>2083013100</v>
      </c>
    </row>
    <row r="70" spans="1:65" s="10" customFormat="1" hidden="1" x14ac:dyDescent="0.25">
      <c r="A70" s="8">
        <v>26</v>
      </c>
      <c r="B70" s="1">
        <f>VLOOKUP(E70,'[2]Peajes (1)'!$A:$D,4,0)</f>
        <v>3970</v>
      </c>
      <c r="C70" s="8" t="s">
        <v>41</v>
      </c>
      <c r="D70" s="8" t="s">
        <v>42</v>
      </c>
      <c r="E70" s="8" t="s">
        <v>43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702761100</v>
      </c>
      <c r="X70" s="11">
        <v>999026200</v>
      </c>
      <c r="Y70" s="11">
        <v>1061613700</v>
      </c>
      <c r="Z70" s="11">
        <v>983097200</v>
      </c>
      <c r="AA70" s="11">
        <v>1084023500</v>
      </c>
      <c r="AB70" s="11">
        <v>1032011700</v>
      </c>
      <c r="AC70" s="11">
        <v>1159186250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</row>
    <row r="71" spans="1:65" s="10" customFormat="1" hidden="1" x14ac:dyDescent="0.25">
      <c r="A71" s="8">
        <v>130</v>
      </c>
      <c r="B71" s="1">
        <f>VLOOKUP(E71,'[2]Peajes (1)'!$A:$D,4,0)</f>
        <v>3970</v>
      </c>
      <c r="C71" s="8" t="s">
        <v>195</v>
      </c>
      <c r="D71" s="8" t="s">
        <v>196</v>
      </c>
      <c r="E71" s="8" t="s">
        <v>43</v>
      </c>
      <c r="F71" s="11">
        <v>1003809100</v>
      </c>
      <c r="G71" s="11">
        <v>769812400</v>
      </c>
      <c r="H71" s="11">
        <v>831463600</v>
      </c>
      <c r="I71" s="11">
        <v>850185100</v>
      </c>
      <c r="J71" s="11">
        <v>829444000</v>
      </c>
      <c r="K71" s="11">
        <v>821394500</v>
      </c>
      <c r="L71" s="11">
        <v>897195900</v>
      </c>
      <c r="M71" s="11">
        <v>932613800</v>
      </c>
      <c r="N71" s="11">
        <v>843314000</v>
      </c>
      <c r="O71" s="11">
        <v>882817300</v>
      </c>
      <c r="P71" s="11">
        <v>834317600</v>
      </c>
      <c r="Q71" s="11">
        <v>976308400</v>
      </c>
      <c r="R71" s="11">
        <v>1129468950</v>
      </c>
      <c r="S71" s="11">
        <v>803200700</v>
      </c>
      <c r="T71" s="11">
        <v>888743200</v>
      </c>
      <c r="U71" s="11">
        <v>884889100</v>
      </c>
      <c r="V71" s="11">
        <v>884576900</v>
      </c>
      <c r="W71" s="11">
        <v>226388300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1342646550</v>
      </c>
      <c r="AE71" s="11">
        <v>1042264450</v>
      </c>
      <c r="AF71" s="11">
        <v>1115257250</v>
      </c>
      <c r="AG71" s="11">
        <v>1002763350</v>
      </c>
      <c r="AH71" s="11">
        <v>1043285900</v>
      </c>
      <c r="AI71" s="11">
        <v>1057758950</v>
      </c>
      <c r="AJ71" s="11">
        <v>1056668200</v>
      </c>
      <c r="AK71" s="11">
        <v>1162074000</v>
      </c>
      <c r="AL71" s="11">
        <v>1089657050</v>
      </c>
      <c r="AM71" s="11">
        <v>1104296150</v>
      </c>
      <c r="AN71" s="11">
        <v>1097987650</v>
      </c>
      <c r="AO71" s="11">
        <v>1244453450</v>
      </c>
      <c r="AP71" s="11">
        <v>1368357950</v>
      </c>
      <c r="AQ71" s="11">
        <v>1106591000</v>
      </c>
      <c r="AR71" s="11">
        <v>1168054300</v>
      </c>
      <c r="AS71" s="11">
        <v>1144189450</v>
      </c>
      <c r="AT71" s="11">
        <v>1103495950</v>
      </c>
      <c r="AU71" s="11">
        <v>1074335350</v>
      </c>
      <c r="AV71" s="11">
        <v>1189345400</v>
      </c>
      <c r="AW71" s="11">
        <v>1251547550</v>
      </c>
      <c r="AX71" s="11">
        <v>1123515500</v>
      </c>
      <c r="AY71" s="11">
        <v>1169567100</v>
      </c>
      <c r="AZ71" s="11">
        <v>1165313050</v>
      </c>
      <c r="BA71" s="11">
        <v>1316415250</v>
      </c>
      <c r="BB71" s="11">
        <v>1402580750</v>
      </c>
      <c r="BC71" s="11">
        <v>1043677350</v>
      </c>
      <c r="BD71" s="11">
        <v>1193923050</v>
      </c>
      <c r="BE71" s="11">
        <v>1109479700</v>
      </c>
      <c r="BF71" s="11">
        <v>1090089250</v>
      </c>
      <c r="BG71" s="11">
        <v>1082694800</v>
      </c>
      <c r="BH71" s="11">
        <v>1187380700</v>
      </c>
      <c r="BI71" s="11">
        <v>1164322650</v>
      </c>
      <c r="BJ71" s="11">
        <v>1115173750</v>
      </c>
      <c r="BK71" s="11">
        <v>1168892600</v>
      </c>
      <c r="BL71" s="11">
        <v>1144437600</v>
      </c>
      <c r="BM71" s="11">
        <v>1324435850</v>
      </c>
    </row>
    <row r="72" spans="1:65" s="10" customFormat="1" x14ac:dyDescent="0.25">
      <c r="A72" s="8">
        <v>130</v>
      </c>
      <c r="B72" s="1">
        <f>VLOOKUP(E72,'[2]Peajes (1)'!$A:$D,4,0)</f>
        <v>3970</v>
      </c>
      <c r="C72" s="8" t="s">
        <v>195</v>
      </c>
      <c r="D72" s="8" t="s">
        <v>196</v>
      </c>
      <c r="E72" s="8" t="s">
        <v>43</v>
      </c>
      <c r="F72" s="11">
        <f>SUM(F70:F71)</f>
        <v>1003809100</v>
      </c>
      <c r="G72" s="11">
        <f t="shared" ref="G72:BM72" si="52">SUM(G70:G71)</f>
        <v>769812400</v>
      </c>
      <c r="H72" s="11">
        <f t="shared" si="52"/>
        <v>831463600</v>
      </c>
      <c r="I72" s="11">
        <f t="shared" si="52"/>
        <v>850185100</v>
      </c>
      <c r="J72" s="11">
        <f t="shared" si="52"/>
        <v>829444000</v>
      </c>
      <c r="K72" s="11">
        <f t="shared" si="52"/>
        <v>821394500</v>
      </c>
      <c r="L72" s="11">
        <f t="shared" si="52"/>
        <v>897195900</v>
      </c>
      <c r="M72" s="11">
        <f t="shared" si="52"/>
        <v>932613800</v>
      </c>
      <c r="N72" s="11">
        <f t="shared" si="52"/>
        <v>843314000</v>
      </c>
      <c r="O72" s="11">
        <f t="shared" si="52"/>
        <v>882817300</v>
      </c>
      <c r="P72" s="11">
        <f t="shared" si="52"/>
        <v>834317600</v>
      </c>
      <c r="Q72" s="11">
        <f t="shared" si="52"/>
        <v>976308400</v>
      </c>
      <c r="R72" s="11">
        <f t="shared" si="52"/>
        <v>1129468950</v>
      </c>
      <c r="S72" s="11">
        <f t="shared" si="52"/>
        <v>803200700</v>
      </c>
      <c r="T72" s="11">
        <f t="shared" si="52"/>
        <v>888743200</v>
      </c>
      <c r="U72" s="11">
        <f t="shared" si="52"/>
        <v>884889100</v>
      </c>
      <c r="V72" s="11">
        <f t="shared" si="52"/>
        <v>884576900</v>
      </c>
      <c r="W72" s="11">
        <f t="shared" si="52"/>
        <v>929149400</v>
      </c>
      <c r="X72" s="11">
        <f t="shared" si="52"/>
        <v>999026200</v>
      </c>
      <c r="Y72" s="11">
        <f t="shared" si="52"/>
        <v>1061613700</v>
      </c>
      <c r="Z72" s="11">
        <f t="shared" si="52"/>
        <v>983097200</v>
      </c>
      <c r="AA72" s="11">
        <f t="shared" si="52"/>
        <v>1084023500</v>
      </c>
      <c r="AB72" s="11">
        <f t="shared" si="52"/>
        <v>1032011700</v>
      </c>
      <c r="AC72" s="11">
        <f t="shared" si="52"/>
        <v>1159186250</v>
      </c>
      <c r="AD72" s="11">
        <f t="shared" si="52"/>
        <v>1342646550</v>
      </c>
      <c r="AE72" s="11">
        <f t="shared" si="52"/>
        <v>1042264450</v>
      </c>
      <c r="AF72" s="11">
        <f t="shared" si="52"/>
        <v>1115257250</v>
      </c>
      <c r="AG72" s="11">
        <f t="shared" si="52"/>
        <v>1002763350</v>
      </c>
      <c r="AH72" s="11">
        <f t="shared" si="52"/>
        <v>1043285900</v>
      </c>
      <c r="AI72" s="11">
        <f t="shared" si="52"/>
        <v>1057758950</v>
      </c>
      <c r="AJ72" s="11">
        <f t="shared" si="52"/>
        <v>1056668200</v>
      </c>
      <c r="AK72" s="11">
        <f t="shared" si="52"/>
        <v>1162074000</v>
      </c>
      <c r="AL72" s="11">
        <f t="shared" si="52"/>
        <v>1089657050</v>
      </c>
      <c r="AM72" s="11">
        <f t="shared" si="52"/>
        <v>1104296150</v>
      </c>
      <c r="AN72" s="11">
        <f t="shared" si="52"/>
        <v>1097987650</v>
      </c>
      <c r="AO72" s="11">
        <f t="shared" si="52"/>
        <v>1244453450</v>
      </c>
      <c r="AP72" s="11">
        <f t="shared" si="52"/>
        <v>1368357950</v>
      </c>
      <c r="AQ72" s="11">
        <f t="shared" si="52"/>
        <v>1106591000</v>
      </c>
      <c r="AR72" s="11">
        <f t="shared" si="52"/>
        <v>1168054300</v>
      </c>
      <c r="AS72" s="11">
        <f t="shared" si="52"/>
        <v>1144189450</v>
      </c>
      <c r="AT72" s="11">
        <f t="shared" si="52"/>
        <v>1103495950</v>
      </c>
      <c r="AU72" s="11">
        <f t="shared" si="52"/>
        <v>1074335350</v>
      </c>
      <c r="AV72" s="11">
        <f t="shared" si="52"/>
        <v>1189345400</v>
      </c>
      <c r="AW72" s="11">
        <f t="shared" si="52"/>
        <v>1251547550</v>
      </c>
      <c r="AX72" s="11">
        <f t="shared" si="52"/>
        <v>1123515500</v>
      </c>
      <c r="AY72" s="11">
        <f t="shared" si="52"/>
        <v>1169567100</v>
      </c>
      <c r="AZ72" s="11">
        <f t="shared" si="52"/>
        <v>1165313050</v>
      </c>
      <c r="BA72" s="11">
        <f t="shared" si="52"/>
        <v>1316415250</v>
      </c>
      <c r="BB72" s="11">
        <f t="shared" si="52"/>
        <v>1402580750</v>
      </c>
      <c r="BC72" s="11">
        <f t="shared" si="52"/>
        <v>1043677350</v>
      </c>
      <c r="BD72" s="11">
        <f t="shared" si="52"/>
        <v>1193923050</v>
      </c>
      <c r="BE72" s="11">
        <f t="shared" si="52"/>
        <v>1109479700</v>
      </c>
      <c r="BF72" s="11">
        <f t="shared" si="52"/>
        <v>1090089250</v>
      </c>
      <c r="BG72" s="11">
        <f t="shared" si="52"/>
        <v>1082694800</v>
      </c>
      <c r="BH72" s="11">
        <f t="shared" si="52"/>
        <v>1187380700</v>
      </c>
      <c r="BI72" s="11">
        <f t="shared" si="52"/>
        <v>1164322650</v>
      </c>
      <c r="BJ72" s="11">
        <f t="shared" si="52"/>
        <v>1115173750</v>
      </c>
      <c r="BK72" s="11">
        <f t="shared" si="52"/>
        <v>1168892600</v>
      </c>
      <c r="BL72" s="11">
        <f t="shared" si="52"/>
        <v>1144437600</v>
      </c>
      <c r="BM72" s="11">
        <f t="shared" si="52"/>
        <v>1324435850</v>
      </c>
    </row>
    <row r="73" spans="1:65" x14ac:dyDescent="0.25">
      <c r="A73" s="1">
        <v>106</v>
      </c>
      <c r="B73" s="1">
        <f>VLOOKUP(E73,'[2]Peajes (1)'!$A:$D,4,0)</f>
        <v>10006</v>
      </c>
      <c r="C73" s="3" t="s">
        <v>163</v>
      </c>
      <c r="D73" s="3" t="s">
        <v>164</v>
      </c>
      <c r="E73" s="3" t="s">
        <v>165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</row>
    <row r="74" spans="1:65" x14ac:dyDescent="0.25">
      <c r="A74" s="1">
        <v>117</v>
      </c>
      <c r="B74" s="1">
        <f>VLOOKUP(E74,'[2]Peajes (1)'!$A:$D,4,0)</f>
        <v>3945</v>
      </c>
      <c r="C74" s="3" t="s">
        <v>177</v>
      </c>
      <c r="D74" s="3" t="s">
        <v>178</v>
      </c>
      <c r="E74" s="3" t="s">
        <v>180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167360000</v>
      </c>
      <c r="AC74" s="4">
        <v>1441159900</v>
      </c>
      <c r="AD74" s="4">
        <v>1597246800</v>
      </c>
      <c r="AE74" s="4">
        <v>1190170100</v>
      </c>
      <c r="AF74" s="4">
        <v>1346262000</v>
      </c>
      <c r="AG74" s="4">
        <v>1199996750</v>
      </c>
      <c r="AH74" s="4">
        <v>1293357550</v>
      </c>
      <c r="AI74" s="4">
        <v>2143858600</v>
      </c>
      <c r="AJ74" s="4">
        <v>1964287700</v>
      </c>
      <c r="AK74" s="4">
        <v>2610716100</v>
      </c>
      <c r="AL74" s="4">
        <v>2302741200</v>
      </c>
      <c r="AM74" s="4">
        <v>2400146900</v>
      </c>
      <c r="AN74" s="4">
        <v>2314701800</v>
      </c>
      <c r="AO74" s="4">
        <v>2561059200</v>
      </c>
      <c r="AP74" s="4">
        <v>2787817500</v>
      </c>
      <c r="AQ74" s="4">
        <v>2177677400</v>
      </c>
      <c r="AR74" s="4">
        <v>2344824200</v>
      </c>
      <c r="AS74" s="4">
        <v>2442400700</v>
      </c>
      <c r="AT74" s="4">
        <v>2278668100</v>
      </c>
      <c r="AU74" s="4">
        <v>2352045100</v>
      </c>
      <c r="AV74" s="4">
        <v>2325983100</v>
      </c>
      <c r="AW74" s="4">
        <v>2402708600</v>
      </c>
      <c r="AX74" s="4">
        <v>2278156300</v>
      </c>
      <c r="AY74" s="4">
        <v>2437576500</v>
      </c>
      <c r="AZ74" s="4">
        <v>2324861000</v>
      </c>
      <c r="BA74" s="4">
        <v>2749320100</v>
      </c>
      <c r="BB74" s="4">
        <v>3132844000</v>
      </c>
      <c r="BC74" s="4">
        <v>2334329200</v>
      </c>
      <c r="BD74" s="4">
        <v>2608384500</v>
      </c>
      <c r="BE74" s="4">
        <v>2530859100</v>
      </c>
      <c r="BF74" s="4">
        <v>1810370900</v>
      </c>
      <c r="BG74" s="4">
        <v>909735300</v>
      </c>
      <c r="BH74" s="4">
        <v>2310159500</v>
      </c>
      <c r="BI74" s="4">
        <v>2550116400</v>
      </c>
      <c r="BJ74" s="4">
        <v>2264312800</v>
      </c>
      <c r="BK74" s="4">
        <v>2489442700</v>
      </c>
      <c r="BL74" s="4">
        <v>2494361300</v>
      </c>
      <c r="BM74" s="4">
        <v>2929608400</v>
      </c>
    </row>
    <row r="75" spans="1:65" x14ac:dyDescent="0.25">
      <c r="A75" s="1">
        <v>141</v>
      </c>
      <c r="B75" s="1">
        <f>VLOOKUP(E75,'[2]Peajes (1)'!$A:$D,4,0)</f>
        <v>3850</v>
      </c>
      <c r="C75" s="3" t="s">
        <v>208</v>
      </c>
      <c r="D75" s="3" t="s">
        <v>209</v>
      </c>
      <c r="E75" s="3" t="s">
        <v>210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200947200</v>
      </c>
      <c r="R75" s="4">
        <v>511473400</v>
      </c>
      <c r="S75" s="4">
        <v>455276500</v>
      </c>
      <c r="T75" s="4">
        <v>527000200</v>
      </c>
      <c r="U75" s="4">
        <v>497222450</v>
      </c>
      <c r="V75" s="4">
        <v>566356000</v>
      </c>
      <c r="W75" s="4">
        <v>506501350</v>
      </c>
      <c r="X75" s="4">
        <v>535423850</v>
      </c>
      <c r="Y75" s="4">
        <v>571611600</v>
      </c>
      <c r="Z75" s="4">
        <v>526345450</v>
      </c>
      <c r="AA75" s="4">
        <v>559188900</v>
      </c>
      <c r="AB75" s="4">
        <v>527883450</v>
      </c>
      <c r="AC75" s="4">
        <v>558582600</v>
      </c>
      <c r="AD75" s="4">
        <v>585372850</v>
      </c>
      <c r="AE75" s="4">
        <v>551414550</v>
      </c>
      <c r="AF75" s="4">
        <v>623768200</v>
      </c>
      <c r="AG75" s="4">
        <v>568770850</v>
      </c>
      <c r="AH75" s="4">
        <v>602398300</v>
      </c>
      <c r="AI75" s="4">
        <v>592024100</v>
      </c>
      <c r="AJ75" s="4">
        <v>566115900</v>
      </c>
      <c r="AK75" s="4">
        <v>610052800</v>
      </c>
      <c r="AL75" s="4">
        <v>556740250</v>
      </c>
      <c r="AM75" s="4">
        <v>599373300</v>
      </c>
      <c r="AN75" s="4">
        <v>589651000</v>
      </c>
      <c r="AO75" s="4">
        <v>603612800</v>
      </c>
      <c r="AP75" s="4">
        <v>663489650</v>
      </c>
      <c r="AQ75" s="4">
        <v>614347750</v>
      </c>
      <c r="AR75" s="4">
        <v>666410850</v>
      </c>
      <c r="AS75" s="4">
        <v>629702100</v>
      </c>
      <c r="AT75" s="4">
        <v>659312050</v>
      </c>
      <c r="AU75" s="4">
        <v>598766000</v>
      </c>
      <c r="AV75" s="4">
        <v>629118100</v>
      </c>
      <c r="AW75" s="4">
        <v>651228700</v>
      </c>
      <c r="AX75" s="4">
        <v>608856800</v>
      </c>
      <c r="AY75" s="4">
        <v>638840900</v>
      </c>
      <c r="AZ75" s="4">
        <v>607546350</v>
      </c>
      <c r="BA75" s="4">
        <v>601738700</v>
      </c>
      <c r="BB75" s="4">
        <v>642216600</v>
      </c>
      <c r="BC75" s="4">
        <v>585276200</v>
      </c>
      <c r="BD75" s="4">
        <v>625390250</v>
      </c>
      <c r="BE75" s="4">
        <v>567567750</v>
      </c>
      <c r="BF75" s="4">
        <v>542726050</v>
      </c>
      <c r="BG75" s="4">
        <v>499978000</v>
      </c>
      <c r="BH75" s="4">
        <v>497445650</v>
      </c>
      <c r="BI75" s="4">
        <v>515975000</v>
      </c>
      <c r="BJ75" s="4">
        <v>525957000</v>
      </c>
      <c r="BK75" s="4">
        <v>554701550</v>
      </c>
      <c r="BL75" s="4">
        <v>572372850</v>
      </c>
      <c r="BM75" s="4">
        <v>622371100</v>
      </c>
    </row>
    <row r="76" spans="1:65" x14ac:dyDescent="0.25">
      <c r="A76" s="1">
        <v>55</v>
      </c>
      <c r="B76" s="1">
        <f>VLOOKUP(E76,'[2]Peajes (1)'!$A:$D,4,0)</f>
        <v>3819</v>
      </c>
      <c r="C76" s="3" t="s">
        <v>84</v>
      </c>
      <c r="D76" s="3" t="s">
        <v>85</v>
      </c>
      <c r="E76" s="3" t="s">
        <v>86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>
        <v>0</v>
      </c>
      <c r="AE76" s="4">
        <v>0</v>
      </c>
      <c r="AF76" s="4">
        <v>0</v>
      </c>
      <c r="AG76" s="4">
        <v>434229600</v>
      </c>
      <c r="AH76" s="4">
        <v>996268400</v>
      </c>
      <c r="AI76" s="4">
        <v>958425600</v>
      </c>
      <c r="AJ76" s="4">
        <f t="shared" ref="AJ76:BM76" si="53">+AJ77+AJ78</f>
        <v>2065560500</v>
      </c>
      <c r="AK76" s="4">
        <f t="shared" si="53"/>
        <v>2227341500</v>
      </c>
      <c r="AL76" s="4">
        <f t="shared" si="53"/>
        <v>2126744600</v>
      </c>
      <c r="AM76" s="4">
        <f t="shared" si="53"/>
        <v>2180218900</v>
      </c>
      <c r="AN76" s="4">
        <f t="shared" si="53"/>
        <v>2171275200</v>
      </c>
      <c r="AO76" s="4">
        <f t="shared" si="53"/>
        <v>2425108100</v>
      </c>
      <c r="AP76" s="4">
        <f t="shared" si="53"/>
        <v>2717115800</v>
      </c>
      <c r="AQ76" s="4">
        <f t="shared" si="53"/>
        <v>2100582200</v>
      </c>
      <c r="AR76" s="4">
        <f t="shared" si="53"/>
        <v>2304371500</v>
      </c>
      <c r="AS76" s="4">
        <f t="shared" si="53"/>
        <v>2361947000</v>
      </c>
      <c r="AT76" s="4">
        <f t="shared" si="53"/>
        <v>2219154300</v>
      </c>
      <c r="AU76" s="4">
        <f t="shared" si="53"/>
        <v>2286764700</v>
      </c>
      <c r="AV76" s="4">
        <f t="shared" si="53"/>
        <v>2273813700</v>
      </c>
      <c r="AW76" s="4">
        <f t="shared" si="53"/>
        <v>2372589300</v>
      </c>
      <c r="AX76" s="4">
        <f t="shared" si="53"/>
        <v>2282550200</v>
      </c>
      <c r="AY76" s="4">
        <f t="shared" si="53"/>
        <v>1572666900</v>
      </c>
      <c r="AZ76" s="4">
        <f t="shared" si="53"/>
        <v>0</v>
      </c>
      <c r="BA76" s="4">
        <f t="shared" si="53"/>
        <v>0</v>
      </c>
      <c r="BB76" s="4">
        <f t="shared" si="53"/>
        <v>0</v>
      </c>
      <c r="BC76" s="4">
        <f t="shared" si="53"/>
        <v>0</v>
      </c>
      <c r="BD76" s="4">
        <f t="shared" si="53"/>
        <v>0</v>
      </c>
      <c r="BE76" s="4">
        <f t="shared" si="53"/>
        <v>0</v>
      </c>
      <c r="BF76" s="4">
        <f t="shared" si="53"/>
        <v>0</v>
      </c>
      <c r="BG76" s="4">
        <f t="shared" si="53"/>
        <v>0</v>
      </c>
      <c r="BH76" s="4">
        <f t="shared" si="53"/>
        <v>0</v>
      </c>
      <c r="BI76" s="4">
        <f t="shared" si="53"/>
        <v>0</v>
      </c>
      <c r="BJ76" s="4">
        <f t="shared" si="53"/>
        <v>0</v>
      </c>
      <c r="BK76" s="4">
        <f t="shared" si="53"/>
        <v>0</v>
      </c>
      <c r="BL76" s="4">
        <f t="shared" si="53"/>
        <v>0</v>
      </c>
      <c r="BM76" s="4">
        <f t="shared" si="53"/>
        <v>0</v>
      </c>
    </row>
    <row r="77" spans="1:65" x14ac:dyDescent="0.25">
      <c r="A77" s="1">
        <v>80</v>
      </c>
      <c r="B77" s="1">
        <f>VLOOKUP(E77,'[2]Peajes (1)'!$A:$D,4,0)</f>
        <v>3800</v>
      </c>
      <c r="C77" s="3" t="s">
        <v>112</v>
      </c>
      <c r="D77" s="3" t="s">
        <v>113</v>
      </c>
      <c r="E77" s="3" t="s">
        <v>116</v>
      </c>
      <c r="F77" s="4">
        <v>2199249300</v>
      </c>
      <c r="G77" s="4">
        <v>1716343400</v>
      </c>
      <c r="H77" s="4">
        <v>1924344600</v>
      </c>
      <c r="I77" s="4">
        <v>2081338300</v>
      </c>
      <c r="J77" s="4">
        <v>1446021600</v>
      </c>
      <c r="K77" s="4">
        <v>2051176300</v>
      </c>
      <c r="L77" s="4">
        <v>2352190100</v>
      </c>
      <c r="M77" s="4">
        <v>2118026600</v>
      </c>
      <c r="N77" s="4">
        <v>1901090300</v>
      </c>
      <c r="O77" s="4">
        <v>2063082900</v>
      </c>
      <c r="P77" s="4">
        <v>1856883800</v>
      </c>
      <c r="Q77" s="4">
        <v>2004361400</v>
      </c>
      <c r="R77" s="4">
        <v>2179352900</v>
      </c>
      <c r="S77" s="4">
        <v>1945711800</v>
      </c>
      <c r="T77" s="4">
        <v>2151899700</v>
      </c>
      <c r="U77" s="4">
        <v>2009228000</v>
      </c>
      <c r="V77" s="4">
        <v>2018379900</v>
      </c>
      <c r="W77" s="4">
        <v>1994499600</v>
      </c>
      <c r="X77" s="4">
        <v>2396531600</v>
      </c>
      <c r="Y77" s="4">
        <v>2356260000</v>
      </c>
      <c r="Z77" s="4">
        <v>2338065900</v>
      </c>
      <c r="AA77" s="4">
        <v>2470780600</v>
      </c>
      <c r="AB77" s="4">
        <v>2306295800</v>
      </c>
      <c r="AC77" s="4">
        <v>2465514400</v>
      </c>
      <c r="AD77" s="4">
        <v>2695568200</v>
      </c>
      <c r="AE77" s="4">
        <v>2265419600</v>
      </c>
      <c r="AF77" s="4">
        <v>2363856300</v>
      </c>
      <c r="AG77" s="4">
        <v>2261329600</v>
      </c>
      <c r="AH77" s="4">
        <v>2026185600</v>
      </c>
      <c r="AI77" s="4">
        <v>2199403900</v>
      </c>
      <c r="AJ77" s="4">
        <v>2065560500</v>
      </c>
      <c r="AK77" s="4">
        <v>2227341500</v>
      </c>
      <c r="AL77" s="4">
        <v>2126744600</v>
      </c>
      <c r="AM77" s="4">
        <v>2180218900</v>
      </c>
      <c r="AN77" s="4">
        <v>2171275200</v>
      </c>
      <c r="AO77" s="4">
        <v>2425108100</v>
      </c>
      <c r="AP77" s="4">
        <v>2717115800</v>
      </c>
      <c r="AQ77" s="4">
        <v>2100582200</v>
      </c>
      <c r="AR77" s="4">
        <v>2304371500</v>
      </c>
      <c r="AS77" s="4">
        <v>2361947000</v>
      </c>
      <c r="AT77" s="4">
        <v>2219154300</v>
      </c>
      <c r="AU77" s="4">
        <v>2286764700</v>
      </c>
      <c r="AV77" s="4">
        <v>2273813700</v>
      </c>
      <c r="AW77" s="4">
        <v>2372589300</v>
      </c>
      <c r="AX77" s="4">
        <v>2282550200</v>
      </c>
      <c r="AY77" s="4">
        <v>1572666900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</row>
    <row r="78" spans="1:65" s="10" customFormat="1" hidden="1" x14ac:dyDescent="0.25">
      <c r="A78" s="8">
        <v>27</v>
      </c>
      <c r="B78" s="1">
        <f>VLOOKUP(E78,'[2]Peajes (1)'!$A:$D,4,0)</f>
        <v>3922</v>
      </c>
      <c r="C78" s="8" t="s">
        <v>41</v>
      </c>
      <c r="D78" s="8" t="s">
        <v>42</v>
      </c>
      <c r="E78" s="8" t="s">
        <v>44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1460158400</v>
      </c>
      <c r="X78" s="11">
        <v>2317067150</v>
      </c>
      <c r="Y78" s="11">
        <v>2483845900</v>
      </c>
      <c r="Z78" s="11">
        <v>2389192450</v>
      </c>
      <c r="AA78" s="11">
        <v>2450910500</v>
      </c>
      <c r="AB78" s="11">
        <v>2137055850</v>
      </c>
      <c r="AC78" s="11">
        <v>2260245250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</row>
    <row r="79" spans="1:65" s="10" customFormat="1" hidden="1" x14ac:dyDescent="0.25">
      <c r="A79" s="8">
        <v>131</v>
      </c>
      <c r="B79" s="1">
        <f>VLOOKUP(E79,'[2]Peajes (1)'!$A:$D,4,0)</f>
        <v>3922</v>
      </c>
      <c r="C79" s="8" t="s">
        <v>195</v>
      </c>
      <c r="D79" s="8" t="s">
        <v>196</v>
      </c>
      <c r="E79" s="8" t="s">
        <v>44</v>
      </c>
      <c r="F79" s="11">
        <v>2423276700</v>
      </c>
      <c r="G79" s="11">
        <v>2017704800</v>
      </c>
      <c r="H79" s="11">
        <v>2469552600</v>
      </c>
      <c r="I79" s="11">
        <v>2327957500</v>
      </c>
      <c r="J79" s="11">
        <v>2435934600</v>
      </c>
      <c r="K79" s="11">
        <v>2211482100</v>
      </c>
      <c r="L79" s="11">
        <v>2235395100</v>
      </c>
      <c r="M79" s="11">
        <v>2243753500</v>
      </c>
      <c r="N79" s="11">
        <v>2091040600</v>
      </c>
      <c r="O79" s="11">
        <v>2130047400</v>
      </c>
      <c r="P79" s="11">
        <v>2114954400</v>
      </c>
      <c r="Q79" s="11">
        <v>2112643600</v>
      </c>
      <c r="R79" s="11">
        <v>2263580150</v>
      </c>
      <c r="S79" s="11">
        <v>1873584000</v>
      </c>
      <c r="T79" s="11">
        <v>1995213900</v>
      </c>
      <c r="U79" s="11">
        <v>1939598950</v>
      </c>
      <c r="V79" s="11">
        <v>1846280350</v>
      </c>
      <c r="W79" s="11">
        <v>448655100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2243866100</v>
      </c>
      <c r="AE79" s="11">
        <v>2020627500</v>
      </c>
      <c r="AF79" s="11">
        <v>1959572900</v>
      </c>
      <c r="AG79" s="11">
        <v>1789947650</v>
      </c>
      <c r="AH79" s="11">
        <v>1647434150</v>
      </c>
      <c r="AI79" s="11">
        <v>1667727100</v>
      </c>
      <c r="AJ79" s="11">
        <v>1569477750</v>
      </c>
      <c r="AK79" s="11">
        <v>1712022350</v>
      </c>
      <c r="AL79" s="11">
        <v>1631480500</v>
      </c>
      <c r="AM79" s="11">
        <v>1685787300</v>
      </c>
      <c r="AN79" s="11">
        <v>1597675350</v>
      </c>
      <c r="AO79" s="11">
        <v>1770268750</v>
      </c>
      <c r="AP79" s="11">
        <v>1927238400</v>
      </c>
      <c r="AQ79" s="11">
        <v>1612812050</v>
      </c>
      <c r="AR79" s="11">
        <v>1785426600</v>
      </c>
      <c r="AS79" s="11">
        <v>1677351300</v>
      </c>
      <c r="AT79" s="11">
        <v>1661235700</v>
      </c>
      <c r="AU79" s="11">
        <v>1625383500</v>
      </c>
      <c r="AV79" s="11">
        <v>1680625650</v>
      </c>
      <c r="AW79" s="11">
        <v>1833599200</v>
      </c>
      <c r="AX79" s="11">
        <v>1640587400</v>
      </c>
      <c r="AY79" s="11">
        <v>1707903250</v>
      </c>
      <c r="AZ79" s="11">
        <v>1797580300</v>
      </c>
      <c r="BA79" s="11">
        <v>2010341700</v>
      </c>
      <c r="BB79" s="11">
        <v>1976745050</v>
      </c>
      <c r="BC79" s="11">
        <v>1715986300</v>
      </c>
      <c r="BD79" s="11">
        <v>1926110900</v>
      </c>
      <c r="BE79" s="11">
        <v>1847076600</v>
      </c>
      <c r="BF79" s="11">
        <v>1870113700</v>
      </c>
      <c r="BG79" s="11">
        <v>1768127100</v>
      </c>
      <c r="BH79" s="11">
        <v>1828051450</v>
      </c>
      <c r="BI79" s="11">
        <v>1876851850</v>
      </c>
      <c r="BJ79" s="11">
        <v>1717876000</v>
      </c>
      <c r="BK79" s="11">
        <v>1846053600</v>
      </c>
      <c r="BL79" s="11">
        <v>1869528500</v>
      </c>
      <c r="BM79" s="11">
        <v>1969428900</v>
      </c>
    </row>
    <row r="80" spans="1:65" s="10" customFormat="1" x14ac:dyDescent="0.25">
      <c r="A80" s="8">
        <v>131</v>
      </c>
      <c r="B80" s="1">
        <f>VLOOKUP(E80,'[2]Peajes (1)'!$A:$D,4,0)</f>
        <v>3922</v>
      </c>
      <c r="C80" s="8" t="s">
        <v>195</v>
      </c>
      <c r="D80" s="8" t="s">
        <v>196</v>
      </c>
      <c r="E80" s="8" t="s">
        <v>44</v>
      </c>
      <c r="F80" s="11">
        <f>SUM(F78:F79)</f>
        <v>2423276700</v>
      </c>
      <c r="G80" s="11">
        <f t="shared" ref="G80:BM80" si="54">SUM(G78:G79)</f>
        <v>2017704800</v>
      </c>
      <c r="H80" s="11">
        <f t="shared" si="54"/>
        <v>2469552600</v>
      </c>
      <c r="I80" s="11">
        <f t="shared" si="54"/>
        <v>2327957500</v>
      </c>
      <c r="J80" s="11">
        <f t="shared" si="54"/>
        <v>2435934600</v>
      </c>
      <c r="K80" s="11">
        <f t="shared" si="54"/>
        <v>2211482100</v>
      </c>
      <c r="L80" s="11">
        <f t="shared" si="54"/>
        <v>2235395100</v>
      </c>
      <c r="M80" s="11">
        <f t="shared" si="54"/>
        <v>2243753500</v>
      </c>
      <c r="N80" s="11">
        <f t="shared" si="54"/>
        <v>2091040600</v>
      </c>
      <c r="O80" s="11">
        <f t="shared" si="54"/>
        <v>2130047400</v>
      </c>
      <c r="P80" s="11">
        <f t="shared" si="54"/>
        <v>2114954400</v>
      </c>
      <c r="Q80" s="11">
        <f t="shared" si="54"/>
        <v>2112643600</v>
      </c>
      <c r="R80" s="11">
        <f t="shared" si="54"/>
        <v>2263580150</v>
      </c>
      <c r="S80" s="11">
        <f t="shared" si="54"/>
        <v>1873584000</v>
      </c>
      <c r="T80" s="11">
        <f t="shared" si="54"/>
        <v>1995213900</v>
      </c>
      <c r="U80" s="11">
        <f t="shared" si="54"/>
        <v>1939598950</v>
      </c>
      <c r="V80" s="11">
        <f t="shared" si="54"/>
        <v>1846280350</v>
      </c>
      <c r="W80" s="11">
        <f t="shared" si="54"/>
        <v>1908813500</v>
      </c>
      <c r="X80" s="11">
        <f t="shared" si="54"/>
        <v>2317067150</v>
      </c>
      <c r="Y80" s="11">
        <f t="shared" si="54"/>
        <v>2483845900</v>
      </c>
      <c r="Z80" s="11">
        <f t="shared" si="54"/>
        <v>2389192450</v>
      </c>
      <c r="AA80" s="11">
        <f t="shared" si="54"/>
        <v>2450910500</v>
      </c>
      <c r="AB80" s="11">
        <f t="shared" si="54"/>
        <v>2137055850</v>
      </c>
      <c r="AC80" s="11">
        <f t="shared" si="54"/>
        <v>2260245250</v>
      </c>
      <c r="AD80" s="11">
        <f t="shared" si="54"/>
        <v>2243866100</v>
      </c>
      <c r="AE80" s="11">
        <f t="shared" si="54"/>
        <v>2020627500</v>
      </c>
      <c r="AF80" s="11">
        <f t="shared" si="54"/>
        <v>1959572900</v>
      </c>
      <c r="AG80" s="11">
        <f t="shared" si="54"/>
        <v>1789947650</v>
      </c>
      <c r="AH80" s="11">
        <f t="shared" si="54"/>
        <v>1647434150</v>
      </c>
      <c r="AI80" s="11">
        <f t="shared" si="54"/>
        <v>1667727100</v>
      </c>
      <c r="AJ80" s="11">
        <f t="shared" si="54"/>
        <v>1569477750</v>
      </c>
      <c r="AK80" s="11">
        <f t="shared" si="54"/>
        <v>1712022350</v>
      </c>
      <c r="AL80" s="11">
        <f t="shared" si="54"/>
        <v>1631480500</v>
      </c>
      <c r="AM80" s="11">
        <f t="shared" si="54"/>
        <v>1685787300</v>
      </c>
      <c r="AN80" s="11">
        <f t="shared" si="54"/>
        <v>1597675350</v>
      </c>
      <c r="AO80" s="11">
        <f t="shared" si="54"/>
        <v>1770268750</v>
      </c>
      <c r="AP80" s="11">
        <f t="shared" si="54"/>
        <v>1927238400</v>
      </c>
      <c r="AQ80" s="11">
        <f t="shared" si="54"/>
        <v>1612812050</v>
      </c>
      <c r="AR80" s="11">
        <f t="shared" si="54"/>
        <v>1785426600</v>
      </c>
      <c r="AS80" s="11">
        <f t="shared" si="54"/>
        <v>1677351300</v>
      </c>
      <c r="AT80" s="11">
        <f t="shared" si="54"/>
        <v>1661235700</v>
      </c>
      <c r="AU80" s="11">
        <f t="shared" si="54"/>
        <v>1625383500</v>
      </c>
      <c r="AV80" s="11">
        <f t="shared" si="54"/>
        <v>1680625650</v>
      </c>
      <c r="AW80" s="11">
        <f t="shared" si="54"/>
        <v>1833599200</v>
      </c>
      <c r="AX80" s="11">
        <f t="shared" si="54"/>
        <v>1640587400</v>
      </c>
      <c r="AY80" s="11">
        <f t="shared" si="54"/>
        <v>1707903250</v>
      </c>
      <c r="AZ80" s="11">
        <f t="shared" si="54"/>
        <v>1797580300</v>
      </c>
      <c r="BA80" s="11">
        <f t="shared" si="54"/>
        <v>2010341700</v>
      </c>
      <c r="BB80" s="11">
        <f t="shared" si="54"/>
        <v>1976745050</v>
      </c>
      <c r="BC80" s="11">
        <f t="shared" si="54"/>
        <v>1715986300</v>
      </c>
      <c r="BD80" s="11">
        <f t="shared" si="54"/>
        <v>1926110900</v>
      </c>
      <c r="BE80" s="11">
        <f t="shared" si="54"/>
        <v>1847076600</v>
      </c>
      <c r="BF80" s="11">
        <f t="shared" si="54"/>
        <v>1870113700</v>
      </c>
      <c r="BG80" s="11">
        <f t="shared" si="54"/>
        <v>1768127100</v>
      </c>
      <c r="BH80" s="11">
        <f t="shared" si="54"/>
        <v>1828051450</v>
      </c>
      <c r="BI80" s="11">
        <f t="shared" si="54"/>
        <v>1876851850</v>
      </c>
      <c r="BJ80" s="11">
        <f t="shared" si="54"/>
        <v>1717876000</v>
      </c>
      <c r="BK80" s="11">
        <f t="shared" si="54"/>
        <v>1846053600</v>
      </c>
      <c r="BL80" s="11">
        <f t="shared" si="54"/>
        <v>1869528500</v>
      </c>
      <c r="BM80" s="11">
        <f t="shared" si="54"/>
        <v>1969428900</v>
      </c>
    </row>
    <row r="81" spans="1:65" x14ac:dyDescent="0.25">
      <c r="A81" s="1">
        <v>87</v>
      </c>
      <c r="B81" s="1">
        <f>VLOOKUP(E81,'[2]Peajes (1)'!$A:$D,4,0)</f>
        <v>3801</v>
      </c>
      <c r="C81" s="3" t="s">
        <v>121</v>
      </c>
      <c r="D81" s="3" t="s">
        <v>122</v>
      </c>
      <c r="E81" s="3" t="s">
        <v>125</v>
      </c>
      <c r="F81" s="4">
        <v>2315278500</v>
      </c>
      <c r="G81" s="4">
        <v>1776106150</v>
      </c>
      <c r="H81" s="4">
        <v>1831723200</v>
      </c>
      <c r="I81" s="4">
        <v>2038127100</v>
      </c>
      <c r="J81" s="4">
        <v>1894611600</v>
      </c>
      <c r="K81" s="4">
        <v>1977092200</v>
      </c>
      <c r="L81" s="4">
        <v>2105541700</v>
      </c>
      <c r="M81" s="4">
        <v>1891503000</v>
      </c>
      <c r="N81" s="4">
        <v>1836364900</v>
      </c>
      <c r="O81" s="4">
        <v>2036510950</v>
      </c>
      <c r="P81" s="4">
        <v>1905108650</v>
      </c>
      <c r="Q81" s="4">
        <v>1993821300</v>
      </c>
      <c r="R81" s="4">
        <v>2253423500</v>
      </c>
      <c r="S81" s="4">
        <v>1905055200</v>
      </c>
      <c r="T81" s="4">
        <v>2080085350</v>
      </c>
      <c r="U81" s="4">
        <v>2011714700</v>
      </c>
      <c r="V81" s="4">
        <v>1995115100</v>
      </c>
      <c r="W81" s="4">
        <v>1974132500</v>
      </c>
      <c r="X81" s="4">
        <v>2199708200</v>
      </c>
      <c r="Y81" s="4">
        <v>2115750200</v>
      </c>
      <c r="Z81" s="4">
        <v>2079022800</v>
      </c>
      <c r="AA81" s="4">
        <v>2301652300</v>
      </c>
      <c r="AB81" s="4">
        <v>2196307500</v>
      </c>
      <c r="AC81" s="4">
        <v>2308448800</v>
      </c>
      <c r="AD81" s="4">
        <v>2645177400</v>
      </c>
      <c r="AE81" s="4">
        <v>2110275800</v>
      </c>
      <c r="AF81" s="4">
        <v>2270725800</v>
      </c>
      <c r="AG81" s="4">
        <v>2147861400</v>
      </c>
      <c r="AH81" s="4">
        <v>2025564700</v>
      </c>
      <c r="AI81" s="4">
        <v>2038860700</v>
      </c>
      <c r="AJ81" s="4">
        <v>1835433800</v>
      </c>
      <c r="AK81" s="4">
        <v>2247210000</v>
      </c>
      <c r="AL81" s="4">
        <v>2117606700</v>
      </c>
      <c r="AM81" s="4">
        <v>2270152000</v>
      </c>
      <c r="AN81" s="4">
        <v>2234502250</v>
      </c>
      <c r="AO81" s="4">
        <v>2401858100</v>
      </c>
      <c r="AP81" s="4">
        <v>2739829250</v>
      </c>
      <c r="AQ81" s="4">
        <v>2121276900</v>
      </c>
      <c r="AR81" s="4">
        <v>2429676150</v>
      </c>
      <c r="AS81" s="4">
        <v>2469286950</v>
      </c>
      <c r="AT81" s="4">
        <v>2484408700</v>
      </c>
      <c r="AU81" s="4">
        <v>2485052700</v>
      </c>
      <c r="AV81" s="4">
        <v>2309150100</v>
      </c>
      <c r="AW81" s="4">
        <v>2290211400</v>
      </c>
      <c r="AX81" s="4">
        <v>2267972900</v>
      </c>
      <c r="AY81" s="4">
        <v>2430942900</v>
      </c>
      <c r="AZ81" s="4">
        <v>2341340550</v>
      </c>
      <c r="BA81" s="4">
        <v>2559008400</v>
      </c>
      <c r="BB81" s="4">
        <v>2932552350</v>
      </c>
      <c r="BC81" s="4">
        <v>2244315300</v>
      </c>
      <c r="BD81" s="4">
        <v>2653763200</v>
      </c>
      <c r="BE81" s="4">
        <v>2628425450</v>
      </c>
      <c r="BF81" s="4">
        <v>2606455000</v>
      </c>
      <c r="BG81" s="4">
        <v>2702543600</v>
      </c>
      <c r="BH81" s="4">
        <v>2676527300</v>
      </c>
      <c r="BI81" s="4">
        <v>2612385300</v>
      </c>
      <c r="BJ81" s="4">
        <v>2565315200</v>
      </c>
      <c r="BK81" s="4">
        <v>2703902500</v>
      </c>
      <c r="BL81" s="4">
        <v>2610354450</v>
      </c>
      <c r="BM81" s="4">
        <v>2826491050</v>
      </c>
    </row>
    <row r="82" spans="1:65" x14ac:dyDescent="0.25">
      <c r="A82" s="1">
        <v>48</v>
      </c>
      <c r="B82" s="1">
        <f>VLOOKUP(E82,'[2]Peajes (1)'!$A:$D,4,0)</f>
        <v>3969</v>
      </c>
      <c r="C82" s="3" t="s">
        <v>70</v>
      </c>
      <c r="D82" s="3" t="s">
        <v>71</v>
      </c>
      <c r="E82" s="3" t="s">
        <v>73</v>
      </c>
      <c r="F82" s="4">
        <v>564388100</v>
      </c>
      <c r="G82" s="4">
        <v>513203100</v>
      </c>
      <c r="H82" s="4">
        <v>547251200</v>
      </c>
      <c r="I82" s="4">
        <v>526295200</v>
      </c>
      <c r="J82" s="4">
        <v>548214200</v>
      </c>
      <c r="K82" s="4">
        <v>494857500</v>
      </c>
      <c r="L82" s="4">
        <v>550722050</v>
      </c>
      <c r="M82" s="4">
        <v>546533000</v>
      </c>
      <c r="N82" s="4">
        <v>527839500</v>
      </c>
      <c r="O82" s="4">
        <v>516842300</v>
      </c>
      <c r="P82" s="4">
        <v>490304500</v>
      </c>
      <c r="Q82" s="4">
        <v>532526000</v>
      </c>
      <c r="R82" s="4">
        <v>476980000</v>
      </c>
      <c r="S82" s="4">
        <v>477489000</v>
      </c>
      <c r="T82" s="4">
        <v>531576500</v>
      </c>
      <c r="U82" s="4">
        <v>495069050</v>
      </c>
      <c r="V82" s="4">
        <v>525433000</v>
      </c>
      <c r="W82" s="4">
        <v>486207450</v>
      </c>
      <c r="X82" s="4">
        <v>545633100</v>
      </c>
      <c r="Y82" s="4">
        <v>505072900</v>
      </c>
      <c r="Z82" s="4">
        <v>455399100</v>
      </c>
      <c r="AA82" s="4">
        <v>454686700</v>
      </c>
      <c r="AB82" s="4">
        <v>436457000</v>
      </c>
      <c r="AC82" s="4">
        <v>472036000</v>
      </c>
      <c r="AD82" s="4">
        <v>403208150</v>
      </c>
      <c r="AE82" s="4">
        <v>428755300</v>
      </c>
      <c r="AF82" s="4">
        <v>441131800</v>
      </c>
      <c r="AG82" s="4">
        <v>460244100</v>
      </c>
      <c r="AH82" s="4">
        <v>462278000</v>
      </c>
      <c r="AI82" s="4">
        <v>426801700</v>
      </c>
      <c r="AJ82" s="4">
        <v>451820650</v>
      </c>
      <c r="AK82" s="4">
        <v>474419650</v>
      </c>
      <c r="AL82" s="4">
        <v>488111100</v>
      </c>
      <c r="AM82" s="4">
        <v>474889250</v>
      </c>
      <c r="AN82" s="4">
        <v>455971150</v>
      </c>
      <c r="AO82" s="4">
        <v>495201600</v>
      </c>
      <c r="AP82" s="4">
        <v>437214050</v>
      </c>
      <c r="AQ82" s="4">
        <v>451620500</v>
      </c>
      <c r="AR82" s="4">
        <v>508070250</v>
      </c>
      <c r="AS82" s="4">
        <v>444994300</v>
      </c>
      <c r="AT82" s="4">
        <v>484992300</v>
      </c>
      <c r="AU82" s="4">
        <v>453421150</v>
      </c>
      <c r="AV82" s="4">
        <v>481984850</v>
      </c>
      <c r="AW82" s="4">
        <v>506928050</v>
      </c>
      <c r="AX82" s="4">
        <v>503683400</v>
      </c>
      <c r="AY82" s="4">
        <v>491163750</v>
      </c>
      <c r="AZ82" s="4">
        <v>495470800</v>
      </c>
      <c r="BA82" s="4">
        <v>531263450</v>
      </c>
      <c r="BB82" s="4">
        <v>473183250</v>
      </c>
      <c r="BC82" s="4">
        <v>497570250</v>
      </c>
      <c r="BD82" s="4">
        <v>520871850</v>
      </c>
      <c r="BE82" s="4">
        <v>532405850</v>
      </c>
      <c r="BF82" s="4">
        <v>541808500</v>
      </c>
      <c r="BG82" s="4">
        <v>500515500</v>
      </c>
      <c r="BH82" s="4">
        <v>526882750</v>
      </c>
      <c r="BI82" s="4">
        <v>554791000</v>
      </c>
      <c r="BJ82" s="4">
        <v>564212350</v>
      </c>
      <c r="BK82" s="4">
        <v>562431800</v>
      </c>
      <c r="BL82" s="4">
        <v>542384500</v>
      </c>
      <c r="BM82" s="4">
        <v>577241800</v>
      </c>
    </row>
    <row r="83" spans="1:65" x14ac:dyDescent="0.25">
      <c r="A83" s="1">
        <v>97</v>
      </c>
      <c r="B83" s="1">
        <f>VLOOKUP(E83,'[2]Peajes (1)'!$A:$D,4,0)</f>
        <v>3811</v>
      </c>
      <c r="C83" s="3" t="s">
        <v>143</v>
      </c>
      <c r="D83" s="3" t="s">
        <v>144</v>
      </c>
      <c r="E83" s="3" t="s">
        <v>145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136284400</v>
      </c>
      <c r="Q83" s="4">
        <v>170695500</v>
      </c>
      <c r="R83" s="4">
        <v>199428600</v>
      </c>
      <c r="S83" s="4">
        <v>140118900</v>
      </c>
      <c r="T83" s="4">
        <v>176233000</v>
      </c>
      <c r="U83" s="4">
        <v>171261500</v>
      </c>
      <c r="V83" s="4">
        <v>204008400</v>
      </c>
      <c r="W83" s="4">
        <v>167089100</v>
      </c>
      <c r="X83" s="4">
        <v>165703200</v>
      </c>
      <c r="Y83" s="4">
        <v>170925000</v>
      </c>
      <c r="Z83" s="4">
        <v>152280300</v>
      </c>
      <c r="AA83" s="4">
        <v>181428600</v>
      </c>
      <c r="AB83" s="4">
        <v>183422300</v>
      </c>
      <c r="AC83" s="4">
        <v>221383800</v>
      </c>
      <c r="AD83" s="4">
        <v>231630400</v>
      </c>
      <c r="AE83" s="4">
        <v>198633400</v>
      </c>
      <c r="AF83" s="4">
        <v>294707100</v>
      </c>
      <c r="AG83" s="4">
        <v>278149100</v>
      </c>
      <c r="AH83" s="4">
        <v>264830700</v>
      </c>
      <c r="AI83" s="4">
        <v>313082400</v>
      </c>
      <c r="AJ83" s="4">
        <v>348422700</v>
      </c>
      <c r="AK83" s="4">
        <v>547876500</v>
      </c>
      <c r="AL83" s="4">
        <v>402871700</v>
      </c>
      <c r="AM83" s="4">
        <v>401896300</v>
      </c>
      <c r="AN83" s="4">
        <v>262589100</v>
      </c>
      <c r="AO83" s="4">
        <v>262356050</v>
      </c>
      <c r="AP83" s="4">
        <v>397425900</v>
      </c>
      <c r="AQ83" s="4">
        <v>731856600</v>
      </c>
      <c r="AR83" s="4">
        <v>424246300</v>
      </c>
      <c r="AS83" s="4">
        <v>394822700</v>
      </c>
      <c r="AT83" s="4">
        <v>381316500</v>
      </c>
      <c r="AU83" s="4">
        <v>376311100</v>
      </c>
      <c r="AV83" s="4">
        <v>336495200</v>
      </c>
      <c r="AW83" s="4">
        <v>336724300</v>
      </c>
      <c r="AX83" s="4">
        <v>330455800</v>
      </c>
      <c r="AY83" s="4">
        <v>351518600</v>
      </c>
      <c r="AZ83" s="4">
        <v>323426700</v>
      </c>
      <c r="BA83" s="4">
        <v>364436700</v>
      </c>
      <c r="BB83" s="4">
        <v>395106400</v>
      </c>
      <c r="BC83" s="4">
        <v>323835400</v>
      </c>
      <c r="BD83" s="4">
        <v>366588400</v>
      </c>
      <c r="BE83" s="4">
        <v>367128900</v>
      </c>
      <c r="BF83" s="4">
        <v>581121400</v>
      </c>
      <c r="BG83" s="4">
        <v>540215300</v>
      </c>
      <c r="BH83" s="4">
        <v>525201200</v>
      </c>
      <c r="BI83" s="4">
        <v>626835500</v>
      </c>
      <c r="BJ83" s="4">
        <v>769451000</v>
      </c>
      <c r="BK83" s="4">
        <v>421075300</v>
      </c>
      <c r="BL83" s="4">
        <v>489038800</v>
      </c>
      <c r="BM83" s="4">
        <v>498330200</v>
      </c>
    </row>
    <row r="84" spans="1:65" x14ac:dyDescent="0.25">
      <c r="A84" s="1">
        <v>58</v>
      </c>
      <c r="B84" s="1">
        <f>VLOOKUP(E84,'[2]Peajes (1)'!$A:$D,4,0)</f>
        <v>3867</v>
      </c>
      <c r="C84" s="3" t="s">
        <v>84</v>
      </c>
      <c r="D84" s="3" t="s">
        <v>85</v>
      </c>
      <c r="E84" s="3" t="s">
        <v>87</v>
      </c>
      <c r="F84" s="4">
        <v>1296574000</v>
      </c>
      <c r="G84" s="4">
        <v>1148706400</v>
      </c>
      <c r="H84" s="4">
        <v>1214373400</v>
      </c>
      <c r="I84" s="4">
        <v>1235670900</v>
      </c>
      <c r="J84" s="4">
        <v>1264626400</v>
      </c>
      <c r="K84" s="4">
        <v>1177512100</v>
      </c>
      <c r="L84" s="4">
        <v>1294145800</v>
      </c>
      <c r="M84" s="4">
        <v>1262807300</v>
      </c>
      <c r="N84" s="4">
        <v>1329229500</v>
      </c>
      <c r="O84" s="4">
        <v>1356373400</v>
      </c>
      <c r="P84" s="4">
        <v>1301903900</v>
      </c>
      <c r="Q84" s="4">
        <v>1456006300</v>
      </c>
      <c r="R84" s="4">
        <v>1521388000</v>
      </c>
      <c r="S84" s="4">
        <v>1405579900</v>
      </c>
      <c r="T84" s="4">
        <v>1539985800</v>
      </c>
      <c r="U84" s="4">
        <v>1519697700</v>
      </c>
      <c r="V84" s="4">
        <v>1521879400</v>
      </c>
      <c r="W84" s="4">
        <v>1545898500</v>
      </c>
      <c r="X84" s="4">
        <v>1643200500</v>
      </c>
      <c r="Y84" s="4">
        <v>1601442400</v>
      </c>
      <c r="Z84" s="4">
        <v>1578083500</v>
      </c>
      <c r="AA84" s="4">
        <v>1657755900</v>
      </c>
      <c r="AB84" s="4">
        <v>1596536800</v>
      </c>
      <c r="AC84" s="4">
        <v>1814320500</v>
      </c>
      <c r="AD84" s="4">
        <v>1697474500</v>
      </c>
      <c r="AE84" s="4">
        <v>1504194600</v>
      </c>
      <c r="AF84" s="4">
        <v>1627858200</v>
      </c>
      <c r="AG84" s="4">
        <v>1534592800</v>
      </c>
      <c r="AH84" s="4">
        <v>1559250200</v>
      </c>
      <c r="AI84" s="4">
        <v>1532800100</v>
      </c>
      <c r="AJ84" s="4">
        <f t="shared" ref="AJ84:BM84" si="55">+AJ85+AJ86</f>
        <v>2302155100</v>
      </c>
      <c r="AK84" s="4">
        <f t="shared" si="55"/>
        <v>2294727200</v>
      </c>
      <c r="AL84" s="4">
        <f t="shared" si="55"/>
        <v>2194619500</v>
      </c>
      <c r="AM84" s="4">
        <f t="shared" si="55"/>
        <v>2378790800</v>
      </c>
      <c r="AN84" s="4">
        <f t="shared" si="55"/>
        <v>2389195200</v>
      </c>
      <c r="AO84" s="4">
        <f t="shared" si="55"/>
        <v>2678947000</v>
      </c>
      <c r="AP84" s="4">
        <f t="shared" si="55"/>
        <v>3082409700</v>
      </c>
      <c r="AQ84" s="4">
        <f t="shared" si="55"/>
        <v>2269321300</v>
      </c>
      <c r="AR84" s="4">
        <f t="shared" si="55"/>
        <v>2421020100</v>
      </c>
      <c r="AS84" s="4">
        <f t="shared" si="55"/>
        <v>2387348000</v>
      </c>
      <c r="AT84" s="4">
        <f t="shared" si="55"/>
        <v>2460498800</v>
      </c>
      <c r="AU84" s="4">
        <f t="shared" si="55"/>
        <v>2406328900</v>
      </c>
      <c r="AV84" s="4">
        <f t="shared" si="55"/>
        <v>2520789900</v>
      </c>
      <c r="AW84" s="4">
        <f t="shared" si="55"/>
        <v>2540439500</v>
      </c>
      <c r="AX84" s="4">
        <f t="shared" si="55"/>
        <v>2365589700</v>
      </c>
      <c r="AY84" s="4">
        <f t="shared" si="55"/>
        <v>2479917900</v>
      </c>
      <c r="AZ84" s="4">
        <f t="shared" si="55"/>
        <v>2498381800</v>
      </c>
      <c r="BA84" s="4">
        <f t="shared" si="55"/>
        <v>2785852100</v>
      </c>
      <c r="BB84" s="4">
        <f t="shared" si="55"/>
        <v>2564814100</v>
      </c>
      <c r="BC84" s="4">
        <f t="shared" si="55"/>
        <v>2384960200</v>
      </c>
      <c r="BD84" s="4">
        <f t="shared" si="55"/>
        <v>2666352800</v>
      </c>
      <c r="BE84" s="4">
        <f t="shared" si="55"/>
        <v>2603061900</v>
      </c>
      <c r="BF84" s="4">
        <f t="shared" si="55"/>
        <v>2656346000</v>
      </c>
      <c r="BG84" s="4">
        <f t="shared" si="55"/>
        <v>2651667300</v>
      </c>
      <c r="BH84" s="4">
        <f t="shared" si="55"/>
        <v>2754044300</v>
      </c>
      <c r="BI84" s="4">
        <f t="shared" si="55"/>
        <v>2878109500</v>
      </c>
      <c r="BJ84" s="4">
        <f t="shared" si="55"/>
        <v>2758373000</v>
      </c>
      <c r="BK84" s="4">
        <f t="shared" si="55"/>
        <v>2729115900</v>
      </c>
      <c r="BL84" s="4">
        <f t="shared" si="55"/>
        <v>2787881700</v>
      </c>
      <c r="BM84" s="4">
        <f t="shared" si="55"/>
        <v>3033447900</v>
      </c>
    </row>
    <row r="85" spans="1:65" x14ac:dyDescent="0.25">
      <c r="A85" s="1">
        <v>22</v>
      </c>
      <c r="B85" s="1">
        <f>VLOOKUP(E85,'[2]Peajes (1)'!$A:$D,4,0)</f>
        <v>3932</v>
      </c>
      <c r="C85" s="3" t="s">
        <v>31</v>
      </c>
      <c r="D85" s="3" t="s">
        <v>32</v>
      </c>
      <c r="E85" s="3" t="s">
        <v>35</v>
      </c>
      <c r="F85" s="4">
        <v>1576883500</v>
      </c>
      <c r="G85" s="4">
        <v>1456348900</v>
      </c>
      <c r="H85" s="4">
        <v>1647097600</v>
      </c>
      <c r="I85" s="4">
        <v>1568155100</v>
      </c>
      <c r="J85" s="4">
        <v>1614441900</v>
      </c>
      <c r="K85" s="4">
        <v>1606379700</v>
      </c>
      <c r="L85" s="4">
        <v>1620732500</v>
      </c>
      <c r="M85" s="4">
        <v>1790855500</v>
      </c>
      <c r="N85" s="4">
        <v>1633656700</v>
      </c>
      <c r="O85" s="4">
        <v>1691992100</v>
      </c>
      <c r="P85" s="4">
        <v>1719911200</v>
      </c>
      <c r="Q85" s="4">
        <v>1974287700</v>
      </c>
      <c r="R85" s="4">
        <v>1792981600</v>
      </c>
      <c r="S85" s="4">
        <v>1668292900</v>
      </c>
      <c r="T85" s="4">
        <v>1881029400</v>
      </c>
      <c r="U85" s="4">
        <v>1748839400</v>
      </c>
      <c r="V85" s="4">
        <v>1935695200</v>
      </c>
      <c r="W85" s="4">
        <v>1875744500</v>
      </c>
      <c r="X85" s="4">
        <v>1926308300</v>
      </c>
      <c r="Y85" s="4">
        <v>2008093100</v>
      </c>
      <c r="Z85" s="4">
        <v>1874506400</v>
      </c>
      <c r="AA85" s="4">
        <v>1876468200</v>
      </c>
      <c r="AB85" s="4">
        <v>1914328300</v>
      </c>
      <c r="AC85" s="4">
        <v>2205111700</v>
      </c>
      <c r="AD85" s="4">
        <v>2169139600</v>
      </c>
      <c r="AE85" s="4">
        <v>2069371300</v>
      </c>
      <c r="AF85" s="4">
        <v>2212855600</v>
      </c>
      <c r="AG85" s="4">
        <v>2073356300</v>
      </c>
      <c r="AH85" s="4">
        <v>2234760700</v>
      </c>
      <c r="AI85" s="4">
        <v>2187414400</v>
      </c>
      <c r="AJ85" s="4">
        <v>2302155100</v>
      </c>
      <c r="AK85" s="4">
        <v>2294727200</v>
      </c>
      <c r="AL85" s="4">
        <v>2194619500</v>
      </c>
      <c r="AM85" s="4">
        <v>2378790800</v>
      </c>
      <c r="AN85" s="4">
        <v>2389195200</v>
      </c>
      <c r="AO85" s="4">
        <v>2678947000</v>
      </c>
      <c r="AP85" s="4">
        <v>3082409700</v>
      </c>
      <c r="AQ85" s="4">
        <v>2269321300</v>
      </c>
      <c r="AR85" s="4">
        <v>2421020100</v>
      </c>
      <c r="AS85" s="4">
        <v>2387348000</v>
      </c>
      <c r="AT85" s="4">
        <v>2460498800</v>
      </c>
      <c r="AU85" s="4">
        <v>2406328900</v>
      </c>
      <c r="AV85" s="4">
        <v>2520789900</v>
      </c>
      <c r="AW85" s="4">
        <v>2540439500</v>
      </c>
      <c r="AX85" s="4">
        <v>2365589700</v>
      </c>
      <c r="AY85" s="4">
        <v>2479917900</v>
      </c>
      <c r="AZ85" s="4">
        <v>2498381800</v>
      </c>
      <c r="BA85" s="4">
        <v>2785852100</v>
      </c>
      <c r="BB85" s="4">
        <v>2564814100</v>
      </c>
      <c r="BC85" s="4">
        <v>2384960200</v>
      </c>
      <c r="BD85" s="4">
        <v>2666352800</v>
      </c>
      <c r="BE85" s="4">
        <v>2603061900</v>
      </c>
      <c r="BF85" s="4">
        <v>2656346000</v>
      </c>
      <c r="BG85" s="4">
        <v>2651667300</v>
      </c>
      <c r="BH85" s="4">
        <v>2754044300</v>
      </c>
      <c r="BI85" s="4">
        <v>2878109500</v>
      </c>
      <c r="BJ85" s="4">
        <v>2758373000</v>
      </c>
      <c r="BK85" s="4">
        <v>2729115900</v>
      </c>
      <c r="BL85" s="4">
        <v>2787881700</v>
      </c>
      <c r="BM85" s="4">
        <v>3033447900</v>
      </c>
    </row>
    <row r="86" spans="1:65" x14ac:dyDescent="0.25">
      <c r="A86" s="1">
        <v>93</v>
      </c>
      <c r="B86" s="1">
        <f>VLOOKUP(E86,'[2]Peajes (1)'!$A:$D,4,0)</f>
        <v>7205</v>
      </c>
      <c r="C86" s="3" t="s">
        <v>133</v>
      </c>
      <c r="D86" s="3" t="s">
        <v>134</v>
      </c>
      <c r="E86" s="3" t="s">
        <v>135</v>
      </c>
      <c r="F86" s="4">
        <v>1414146600</v>
      </c>
      <c r="G86" s="4">
        <v>1276450650</v>
      </c>
      <c r="H86" s="4">
        <v>1423559700</v>
      </c>
      <c r="I86" s="4">
        <v>1386361000</v>
      </c>
      <c r="J86" s="4">
        <v>1444567400</v>
      </c>
      <c r="K86" s="4">
        <v>1444652500</v>
      </c>
      <c r="L86" s="4">
        <v>1507330050</v>
      </c>
      <c r="M86" s="4">
        <v>1512693250</v>
      </c>
      <c r="N86" s="4">
        <v>1581958050</v>
      </c>
      <c r="O86" s="4">
        <v>1560825950</v>
      </c>
      <c r="P86" s="4">
        <v>1420176700</v>
      </c>
      <c r="Q86" s="4">
        <v>1626390450</v>
      </c>
      <c r="R86" s="4">
        <v>1563210200</v>
      </c>
      <c r="S86" s="4">
        <v>1380643850</v>
      </c>
      <c r="T86" s="4">
        <v>1553961250</v>
      </c>
      <c r="U86" s="4">
        <v>1484053100</v>
      </c>
      <c r="V86" s="4">
        <v>1567673700</v>
      </c>
      <c r="W86" s="4">
        <v>1530696900</v>
      </c>
      <c r="X86" s="4">
        <v>1611623000</v>
      </c>
      <c r="Y86" s="4">
        <v>1577597700</v>
      </c>
      <c r="Z86" s="4">
        <v>1521657450</v>
      </c>
      <c r="AA86" s="4">
        <v>1585276950</v>
      </c>
      <c r="AB86" s="4">
        <v>1526604350</v>
      </c>
      <c r="AC86" s="4">
        <v>1683701500</v>
      </c>
      <c r="AD86" s="4">
        <v>1632784850</v>
      </c>
      <c r="AE86" s="4">
        <v>1516590650</v>
      </c>
      <c r="AF86" s="4">
        <v>1606434800</v>
      </c>
      <c r="AG86" s="4">
        <v>907071950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</row>
    <row r="87" spans="1:65" s="10" customFormat="1" x14ac:dyDescent="0.25">
      <c r="A87" s="8">
        <v>139</v>
      </c>
      <c r="B87" s="1">
        <f>VLOOKUP(E87,'[2]Peajes (1)'!$A:$D,4,0)</f>
        <v>3980</v>
      </c>
      <c r="C87" s="8" t="s">
        <v>203</v>
      </c>
      <c r="D87" s="8" t="s">
        <v>204</v>
      </c>
      <c r="E87" s="8" t="s">
        <v>162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1950708700</v>
      </c>
      <c r="AN87" s="11">
        <v>2735222250</v>
      </c>
      <c r="AO87" s="11">
        <v>2736024950</v>
      </c>
      <c r="AP87" s="11">
        <v>1974372350</v>
      </c>
      <c r="AQ87" s="11">
        <v>2685649750</v>
      </c>
      <c r="AR87" s="11">
        <v>2491606350</v>
      </c>
      <c r="AS87" s="11">
        <v>2924137000</v>
      </c>
      <c r="AT87" s="11">
        <v>1584107150</v>
      </c>
      <c r="AU87" s="11">
        <v>3186561700</v>
      </c>
      <c r="AV87" s="11">
        <v>3075210300</v>
      </c>
      <c r="AW87" s="11">
        <v>2844645600</v>
      </c>
      <c r="AX87" s="11">
        <v>2807570100</v>
      </c>
      <c r="AY87" s="11">
        <v>2673429700</v>
      </c>
      <c r="AZ87" s="11">
        <v>2713771050</v>
      </c>
      <c r="BA87" s="11">
        <v>2611808100</v>
      </c>
      <c r="BB87" s="11">
        <v>2841244000</v>
      </c>
      <c r="BC87" s="11">
        <v>2592955100</v>
      </c>
      <c r="BD87" s="11">
        <v>2740314600</v>
      </c>
      <c r="BE87" s="11">
        <v>2801430950</v>
      </c>
      <c r="BF87" s="11">
        <v>3039575250</v>
      </c>
      <c r="BG87" s="11">
        <v>2928940900</v>
      </c>
      <c r="BH87" s="11">
        <v>3077413200</v>
      </c>
      <c r="BI87" s="11">
        <v>3375821300</v>
      </c>
      <c r="BJ87" s="11">
        <v>3020136500</v>
      </c>
      <c r="BK87" s="11">
        <v>3096700300</v>
      </c>
      <c r="BL87" s="11">
        <v>3038272200</v>
      </c>
      <c r="BM87" s="11">
        <v>2907643500</v>
      </c>
    </row>
    <row r="88" spans="1:65" x14ac:dyDescent="0.25">
      <c r="A88" s="1">
        <v>49</v>
      </c>
      <c r="B88" s="1">
        <f>VLOOKUP(E88,'[2]Peajes (1)'!$A:$D,4,0)</f>
        <v>3930</v>
      </c>
      <c r="C88" s="3" t="s">
        <v>70</v>
      </c>
      <c r="D88" s="3" t="s">
        <v>71</v>
      </c>
      <c r="E88" s="3" t="s">
        <v>74</v>
      </c>
      <c r="F88" s="4">
        <v>1200304600</v>
      </c>
      <c r="G88" s="4">
        <v>974234050</v>
      </c>
      <c r="H88" s="4">
        <v>1073882400</v>
      </c>
      <c r="I88" s="4">
        <v>1130469200</v>
      </c>
      <c r="J88" s="4">
        <v>1031503700</v>
      </c>
      <c r="K88" s="4">
        <v>1041179400</v>
      </c>
      <c r="L88" s="4">
        <v>1069724600</v>
      </c>
      <c r="M88" s="4">
        <v>1118193300</v>
      </c>
      <c r="N88" s="4">
        <v>1015506150</v>
      </c>
      <c r="O88" s="4">
        <v>1108873000</v>
      </c>
      <c r="P88" s="4">
        <v>1024124150</v>
      </c>
      <c r="Q88" s="4">
        <v>1077824750</v>
      </c>
      <c r="R88" s="4">
        <v>1134949600</v>
      </c>
      <c r="S88" s="4">
        <v>962615900</v>
      </c>
      <c r="T88" s="4">
        <v>1080502300</v>
      </c>
      <c r="U88" s="4">
        <v>1109485250</v>
      </c>
      <c r="V88" s="4">
        <v>1155811500</v>
      </c>
      <c r="W88" s="4">
        <v>1115435350</v>
      </c>
      <c r="X88" s="4">
        <v>1116971200</v>
      </c>
      <c r="Y88" s="4">
        <v>1115246500</v>
      </c>
      <c r="Z88" s="4">
        <v>1016131100</v>
      </c>
      <c r="AA88" s="4">
        <v>1136661900</v>
      </c>
      <c r="AB88" s="4">
        <v>1086090950</v>
      </c>
      <c r="AC88" s="4">
        <v>1218415100</v>
      </c>
      <c r="AD88" s="4">
        <v>1267693550</v>
      </c>
      <c r="AE88" s="4">
        <v>1087644100</v>
      </c>
      <c r="AF88" s="4">
        <v>1272424450</v>
      </c>
      <c r="AG88" s="4">
        <v>1115880600</v>
      </c>
      <c r="AH88" s="4">
        <v>1223572200</v>
      </c>
      <c r="AI88" s="4">
        <v>1148420200</v>
      </c>
      <c r="AJ88" s="4">
        <v>1176423350</v>
      </c>
      <c r="AK88" s="4">
        <v>1294630350</v>
      </c>
      <c r="AL88" s="4">
        <v>1146350050</v>
      </c>
      <c r="AM88" s="4">
        <v>1239351500</v>
      </c>
      <c r="AN88" s="4">
        <v>1176485100</v>
      </c>
      <c r="AO88" s="4">
        <v>1294463650</v>
      </c>
      <c r="AP88" s="4">
        <v>1334227300</v>
      </c>
      <c r="AQ88" s="4">
        <v>1136237150</v>
      </c>
      <c r="AR88" s="4">
        <v>1230218050</v>
      </c>
      <c r="AS88" s="4">
        <v>1329877600</v>
      </c>
      <c r="AT88" s="4">
        <v>1283757850</v>
      </c>
      <c r="AU88" s="4">
        <v>1300072300</v>
      </c>
      <c r="AV88" s="4">
        <v>1361313100</v>
      </c>
      <c r="AW88" s="4">
        <v>1369906450</v>
      </c>
      <c r="AX88" s="4">
        <v>1258617000</v>
      </c>
      <c r="AY88" s="4">
        <v>1388879100</v>
      </c>
      <c r="AZ88" s="4">
        <v>1343525500</v>
      </c>
      <c r="BA88" s="4">
        <v>1432306700</v>
      </c>
      <c r="BB88" s="4">
        <v>1502644550</v>
      </c>
      <c r="BC88" s="4">
        <v>1173914800</v>
      </c>
      <c r="BD88" s="4">
        <v>1467338500</v>
      </c>
      <c r="BE88" s="4">
        <v>1333516100</v>
      </c>
      <c r="BF88" s="4">
        <v>1325193300</v>
      </c>
      <c r="BG88" s="4">
        <v>1407827250</v>
      </c>
      <c r="BH88" s="4">
        <v>1518446800</v>
      </c>
      <c r="BI88" s="4">
        <v>1552884800</v>
      </c>
      <c r="BJ88" s="4">
        <v>1418386600</v>
      </c>
      <c r="BK88" s="4">
        <v>1428226700</v>
      </c>
      <c r="BL88" s="4">
        <v>1385363700</v>
      </c>
      <c r="BM88" s="4">
        <v>1614721200</v>
      </c>
    </row>
    <row r="89" spans="1:65" x14ac:dyDescent="0.25">
      <c r="A89" s="1">
        <v>147</v>
      </c>
      <c r="B89" s="1">
        <f>VLOOKUP(E89,'[2]Peajes (1)'!$A:$D,4,0)</f>
        <v>3857</v>
      </c>
      <c r="C89" s="3" t="s">
        <v>218</v>
      </c>
      <c r="D89" s="3" t="s">
        <v>219</v>
      </c>
      <c r="E89" s="3" t="s">
        <v>221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324820000</v>
      </c>
      <c r="AA89" s="4">
        <v>1292611547</v>
      </c>
      <c r="AB89" s="4">
        <v>1259771450</v>
      </c>
      <c r="AC89" s="4">
        <v>1458632950</v>
      </c>
      <c r="AD89" s="4">
        <v>1383821850</v>
      </c>
      <c r="AE89" s="4">
        <v>1166403750</v>
      </c>
      <c r="AF89" s="4">
        <v>1312718150</v>
      </c>
      <c r="AG89" s="4">
        <v>1225580400</v>
      </c>
      <c r="AH89" s="4">
        <v>1299439900</v>
      </c>
      <c r="AI89" s="4">
        <v>1263578800</v>
      </c>
      <c r="AJ89" s="4">
        <v>1269069650</v>
      </c>
      <c r="AK89" s="4">
        <v>1361228150</v>
      </c>
      <c r="AL89" s="4">
        <v>1324864300</v>
      </c>
      <c r="AM89" s="4">
        <v>1409495800</v>
      </c>
      <c r="AN89" s="4">
        <v>1393672350</v>
      </c>
      <c r="AO89" s="4">
        <v>1567409064</v>
      </c>
      <c r="AP89" s="4">
        <v>1439550750</v>
      </c>
      <c r="AQ89" s="4">
        <v>1122225400</v>
      </c>
      <c r="AR89" s="4">
        <v>1341164500</v>
      </c>
      <c r="AS89" s="4">
        <v>1356628500</v>
      </c>
      <c r="AT89" s="4">
        <v>1297133300</v>
      </c>
      <c r="AU89" s="4">
        <v>1380126950</v>
      </c>
      <c r="AV89" s="4">
        <v>1442567850</v>
      </c>
      <c r="AW89" s="4">
        <v>1410243450</v>
      </c>
      <c r="AX89" s="4">
        <v>1331761050</v>
      </c>
      <c r="AY89" s="4">
        <v>1378981400</v>
      </c>
      <c r="AZ89" s="4">
        <v>1353968700</v>
      </c>
      <c r="BA89" s="4">
        <v>1599764450</v>
      </c>
      <c r="BB89" s="4">
        <v>1516525750</v>
      </c>
      <c r="BC89" s="4">
        <v>1221803700</v>
      </c>
      <c r="BD89" s="4">
        <v>1429173000</v>
      </c>
      <c r="BE89" s="4">
        <v>1296809300</v>
      </c>
      <c r="BF89" s="4">
        <v>1323148700</v>
      </c>
      <c r="BG89" s="4">
        <v>1321953700</v>
      </c>
      <c r="BH89" s="4">
        <v>1392117700</v>
      </c>
      <c r="BI89" s="4">
        <v>1395656350</v>
      </c>
      <c r="BJ89" s="4">
        <v>1328419400</v>
      </c>
      <c r="BK89" s="4">
        <v>1453270650</v>
      </c>
      <c r="BL89" s="4">
        <v>1415271800</v>
      </c>
      <c r="BM89" s="4">
        <v>1633511100</v>
      </c>
    </row>
    <row r="90" spans="1:65" x14ac:dyDescent="0.25">
      <c r="A90" s="1">
        <v>154</v>
      </c>
      <c r="B90" s="1">
        <f>VLOOKUP(E90,'[2]Peajes (1)'!$A:$D,4,0)</f>
        <v>3817</v>
      </c>
      <c r="C90" s="3" t="s">
        <v>228</v>
      </c>
      <c r="D90" s="3" t="s">
        <v>229</v>
      </c>
      <c r="E90" s="3" t="s">
        <v>232</v>
      </c>
      <c r="F90" s="4">
        <v>1658133550</v>
      </c>
      <c r="G90" s="4">
        <v>1245158250</v>
      </c>
      <c r="H90" s="4">
        <v>1298669250</v>
      </c>
      <c r="I90" s="4">
        <v>1468263300</v>
      </c>
      <c r="J90" s="4">
        <v>1910419600</v>
      </c>
      <c r="K90" s="4">
        <v>1535401450</v>
      </c>
      <c r="L90" s="4">
        <v>1432841500</v>
      </c>
      <c r="M90" s="4">
        <v>1366999450</v>
      </c>
      <c r="N90" s="4">
        <v>1314220900</v>
      </c>
      <c r="O90" s="4">
        <v>1490829850</v>
      </c>
      <c r="P90" s="4">
        <v>1555107950</v>
      </c>
      <c r="Q90" s="4">
        <v>1646180150</v>
      </c>
      <c r="R90" s="4">
        <v>1746210100</v>
      </c>
      <c r="S90" s="4">
        <v>1291065500</v>
      </c>
      <c r="T90" s="4">
        <v>1396930950</v>
      </c>
      <c r="U90" s="4">
        <v>1519316100</v>
      </c>
      <c r="V90" s="4">
        <v>1451766150</v>
      </c>
      <c r="W90" s="4">
        <v>1532760000</v>
      </c>
      <c r="X90" s="4">
        <v>1571360050</v>
      </c>
      <c r="Y90" s="4">
        <v>1501421300</v>
      </c>
      <c r="Z90" s="4">
        <v>1410408850</v>
      </c>
      <c r="AA90" s="4">
        <v>1617120500</v>
      </c>
      <c r="AB90" s="4">
        <v>1560291300</v>
      </c>
      <c r="AC90" s="4">
        <v>1785514450</v>
      </c>
      <c r="AD90" s="4">
        <v>1884646000</v>
      </c>
      <c r="AE90" s="4">
        <v>1456885100</v>
      </c>
      <c r="AF90" s="4">
        <v>1698117650</v>
      </c>
      <c r="AG90" s="4">
        <v>1444836100</v>
      </c>
      <c r="AH90" s="4">
        <v>1535456400</v>
      </c>
      <c r="AI90" s="4">
        <v>1466088800</v>
      </c>
      <c r="AJ90" s="4">
        <v>1308147500</v>
      </c>
      <c r="AK90" s="4">
        <v>1609243550</v>
      </c>
      <c r="AL90" s="4">
        <v>1538645250</v>
      </c>
      <c r="AM90" s="4">
        <v>1660421100</v>
      </c>
      <c r="AN90" s="4">
        <v>1665549100</v>
      </c>
      <c r="AO90" s="4">
        <v>1885293900</v>
      </c>
      <c r="AP90" s="4">
        <v>1990962400</v>
      </c>
      <c r="AQ90" s="4">
        <v>1510205100</v>
      </c>
      <c r="AR90" s="4">
        <v>1636824100</v>
      </c>
      <c r="AS90" s="4">
        <v>1752823350</v>
      </c>
      <c r="AT90" s="4">
        <v>1598617900</v>
      </c>
      <c r="AU90" s="4">
        <v>1667709600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</row>
    <row r="91" spans="1:65" x14ac:dyDescent="0.25">
      <c r="A91" s="1">
        <v>61</v>
      </c>
      <c r="B91" s="1">
        <f>VLOOKUP(E91,'[2]Peajes (1)'!$A:$D,4,0)</f>
        <v>3968</v>
      </c>
      <c r="C91" s="3" t="s">
        <v>84</v>
      </c>
      <c r="D91" s="3" t="s">
        <v>85</v>
      </c>
      <c r="E91" s="3" t="s">
        <v>254</v>
      </c>
      <c r="F91" s="4">
        <v>1493230800</v>
      </c>
      <c r="G91" s="4">
        <v>1296061400</v>
      </c>
      <c r="H91" s="4">
        <v>1443667600</v>
      </c>
      <c r="I91" s="4">
        <v>1449939000</v>
      </c>
      <c r="J91" s="4">
        <v>1429217500</v>
      </c>
      <c r="K91" s="4">
        <v>1390790000</v>
      </c>
      <c r="L91" s="4">
        <v>1491786500</v>
      </c>
      <c r="M91" s="4">
        <v>1445124100</v>
      </c>
      <c r="N91" s="4">
        <v>1450408500</v>
      </c>
      <c r="O91" s="4">
        <v>1535522300</v>
      </c>
      <c r="P91" s="4">
        <v>1451638500</v>
      </c>
      <c r="Q91" s="4">
        <v>1644556400</v>
      </c>
      <c r="R91" s="4">
        <v>1719013600</v>
      </c>
      <c r="S91" s="4">
        <v>1588999500</v>
      </c>
      <c r="T91" s="4">
        <v>1829601600</v>
      </c>
      <c r="U91" s="4">
        <v>1771355200</v>
      </c>
      <c r="V91" s="4">
        <v>1796541400</v>
      </c>
      <c r="W91" s="4">
        <v>1864076000</v>
      </c>
      <c r="X91" s="4">
        <v>1926210600</v>
      </c>
      <c r="Y91" s="4">
        <v>1925373300</v>
      </c>
      <c r="Z91" s="4">
        <v>1897725200</v>
      </c>
      <c r="AA91" s="4">
        <v>2011113600</v>
      </c>
      <c r="AB91" s="4">
        <v>1961120500</v>
      </c>
      <c r="AC91" s="4">
        <v>2211310900</v>
      </c>
      <c r="AD91" s="4">
        <v>2123530400</v>
      </c>
      <c r="AE91" s="4">
        <v>1842983900</v>
      </c>
      <c r="AF91" s="4">
        <v>2046876500</v>
      </c>
      <c r="AG91" s="4">
        <v>1870379500</v>
      </c>
      <c r="AH91" s="4">
        <v>1965232200</v>
      </c>
      <c r="AI91" s="4">
        <v>1998127300</v>
      </c>
      <c r="AJ91" s="4">
        <f t="shared" ref="AJ91:BM91" si="56">+AJ92+AJ93</f>
        <v>1996082850</v>
      </c>
      <c r="AK91" s="4">
        <f t="shared" si="56"/>
        <v>2637689100</v>
      </c>
      <c r="AL91" s="4">
        <f t="shared" si="56"/>
        <v>2408398300</v>
      </c>
      <c r="AM91" s="4">
        <f t="shared" si="56"/>
        <v>2557486900</v>
      </c>
      <c r="AN91" s="4">
        <f t="shared" si="56"/>
        <v>2446192750</v>
      </c>
      <c r="AO91" s="4">
        <f t="shared" si="56"/>
        <v>2854989650</v>
      </c>
      <c r="AP91" s="4">
        <f t="shared" si="56"/>
        <v>3220155150</v>
      </c>
      <c r="AQ91" s="4">
        <f t="shared" si="56"/>
        <v>2426124900</v>
      </c>
      <c r="AR91" s="4">
        <f t="shared" si="56"/>
        <v>2695116600</v>
      </c>
      <c r="AS91" s="4">
        <f t="shared" si="56"/>
        <v>2830236500</v>
      </c>
      <c r="AT91" s="4">
        <f t="shared" si="56"/>
        <v>2699831000</v>
      </c>
      <c r="AU91" s="4">
        <f t="shared" si="56"/>
        <v>2770676100</v>
      </c>
      <c r="AV91" s="4">
        <f t="shared" si="56"/>
        <v>2756721900</v>
      </c>
      <c r="AW91" s="4">
        <f t="shared" si="56"/>
        <v>2753812400</v>
      </c>
      <c r="AX91" s="4">
        <f t="shared" si="56"/>
        <v>2677547000</v>
      </c>
      <c r="AY91" s="4">
        <f t="shared" si="56"/>
        <v>2821619500</v>
      </c>
      <c r="AZ91" s="4">
        <f t="shared" si="56"/>
        <v>2751679500</v>
      </c>
      <c r="BA91" s="4">
        <f t="shared" si="56"/>
        <v>3236604500</v>
      </c>
      <c r="BB91" s="4">
        <f t="shared" si="56"/>
        <v>3701095900</v>
      </c>
      <c r="BC91" s="4">
        <f t="shared" si="56"/>
        <v>2801170900</v>
      </c>
      <c r="BD91" s="4">
        <f t="shared" si="56"/>
        <v>3153682900</v>
      </c>
      <c r="BE91" s="4">
        <f t="shared" si="56"/>
        <v>2990784400</v>
      </c>
      <c r="BF91" s="4">
        <f t="shared" si="56"/>
        <v>2427326400</v>
      </c>
      <c r="BG91" s="4">
        <f t="shared" si="56"/>
        <v>1752180500</v>
      </c>
      <c r="BH91" s="4">
        <f t="shared" si="56"/>
        <v>2859372250</v>
      </c>
      <c r="BI91" s="4">
        <f t="shared" si="56"/>
        <v>3025809800</v>
      </c>
      <c r="BJ91" s="4">
        <f t="shared" si="56"/>
        <v>2704318800</v>
      </c>
      <c r="BK91" s="4">
        <f t="shared" si="56"/>
        <v>3067207600</v>
      </c>
      <c r="BL91" s="4">
        <f t="shared" si="56"/>
        <v>3017647200</v>
      </c>
      <c r="BM91" s="4">
        <f t="shared" si="56"/>
        <v>3472910050</v>
      </c>
    </row>
    <row r="92" spans="1:65" x14ac:dyDescent="0.25">
      <c r="A92" s="1">
        <v>148</v>
      </c>
      <c r="B92" s="1">
        <f>VLOOKUP(E92,'[2]Peajes (1)'!$A:$D,4,0)</f>
        <v>3810</v>
      </c>
      <c r="C92" s="3" t="s">
        <v>222</v>
      </c>
      <c r="D92" s="3" t="s">
        <v>223</v>
      </c>
      <c r="E92" s="3" t="s">
        <v>224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46189100</v>
      </c>
      <c r="Z92" s="4">
        <v>344822600</v>
      </c>
      <c r="AA92" s="4">
        <v>423792800</v>
      </c>
      <c r="AB92" s="4">
        <v>371252500</v>
      </c>
      <c r="AC92" s="4">
        <v>482785400</v>
      </c>
      <c r="AD92" s="4">
        <v>550823100</v>
      </c>
      <c r="AE92" s="4">
        <v>365530800</v>
      </c>
      <c r="AF92" s="4">
        <v>469439800</v>
      </c>
      <c r="AG92" s="4">
        <v>353343900</v>
      </c>
      <c r="AH92" s="4">
        <v>436575200</v>
      </c>
      <c r="AI92" s="4">
        <v>423333600</v>
      </c>
      <c r="AJ92" s="4">
        <v>407576700</v>
      </c>
      <c r="AK92" s="4">
        <v>428631200</v>
      </c>
      <c r="AL92" s="4">
        <v>397953000</v>
      </c>
      <c r="AM92" s="4">
        <v>461402250</v>
      </c>
      <c r="AN92" s="4">
        <v>444178200</v>
      </c>
      <c r="AO92" s="4">
        <v>513041700</v>
      </c>
      <c r="AP92" s="4">
        <v>582426300</v>
      </c>
      <c r="AQ92" s="4">
        <v>375107000</v>
      </c>
      <c r="AR92" s="4">
        <v>424233600</v>
      </c>
      <c r="AS92" s="4">
        <v>473352200</v>
      </c>
      <c r="AT92" s="4">
        <v>429468000</v>
      </c>
      <c r="AU92" s="4">
        <v>454916000</v>
      </c>
      <c r="AV92" s="4">
        <v>456223400</v>
      </c>
      <c r="AW92" s="4">
        <v>446012000</v>
      </c>
      <c r="AX92" s="4">
        <v>410977300</v>
      </c>
      <c r="AY92" s="4">
        <v>465360100</v>
      </c>
      <c r="AZ92" s="4">
        <v>463078500</v>
      </c>
      <c r="BA92" s="4">
        <v>569047700</v>
      </c>
      <c r="BB92" s="4">
        <v>593629500</v>
      </c>
      <c r="BC92" s="4">
        <v>404158800</v>
      </c>
      <c r="BD92" s="4">
        <v>511325800</v>
      </c>
      <c r="BE92" s="4">
        <v>415071000</v>
      </c>
      <c r="BF92" s="4">
        <v>437884000</v>
      </c>
      <c r="BG92" s="4">
        <v>464971800</v>
      </c>
      <c r="BH92" s="4">
        <v>445595050</v>
      </c>
      <c r="BI92" s="4">
        <v>449457000</v>
      </c>
      <c r="BJ92" s="4">
        <v>412725200</v>
      </c>
      <c r="BK92" s="4">
        <v>509505800</v>
      </c>
      <c r="BL92" s="4">
        <v>499814100</v>
      </c>
      <c r="BM92" s="4">
        <v>600282950</v>
      </c>
    </row>
    <row r="93" spans="1:65" x14ac:dyDescent="0.25">
      <c r="A93" s="1">
        <v>118</v>
      </c>
      <c r="B93" s="1">
        <f>VLOOKUP(E93,'[2]Peajes (1)'!$A:$D,4,0)</f>
        <v>3976</v>
      </c>
      <c r="C93" s="3" t="s">
        <v>177</v>
      </c>
      <c r="D93" s="3" t="s">
        <v>178</v>
      </c>
      <c r="E93" s="3" t="s">
        <v>242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363342000</v>
      </c>
      <c r="AJ93" s="4">
        <v>1588506150</v>
      </c>
      <c r="AK93" s="4">
        <v>2209057900</v>
      </c>
      <c r="AL93" s="4">
        <v>2010445300</v>
      </c>
      <c r="AM93" s="4">
        <v>2096084650</v>
      </c>
      <c r="AN93" s="4">
        <v>2002014550</v>
      </c>
      <c r="AO93" s="4">
        <v>2341947950</v>
      </c>
      <c r="AP93" s="4">
        <v>2637728850</v>
      </c>
      <c r="AQ93" s="4">
        <v>2051017900</v>
      </c>
      <c r="AR93" s="4">
        <v>2270883000</v>
      </c>
      <c r="AS93" s="4">
        <v>2356884300</v>
      </c>
      <c r="AT93" s="4">
        <v>2270363000</v>
      </c>
      <c r="AU93" s="4">
        <v>2315760100</v>
      </c>
      <c r="AV93" s="4">
        <v>2300498500</v>
      </c>
      <c r="AW93" s="4">
        <v>2307800400</v>
      </c>
      <c r="AX93" s="4">
        <v>2266569700</v>
      </c>
      <c r="AY93" s="4">
        <v>2356259400</v>
      </c>
      <c r="AZ93" s="4">
        <v>2288601000</v>
      </c>
      <c r="BA93" s="4">
        <v>2667556800</v>
      </c>
      <c r="BB93" s="4">
        <v>3107466400</v>
      </c>
      <c r="BC93" s="4">
        <v>2397012100</v>
      </c>
      <c r="BD93" s="4">
        <v>2642357100</v>
      </c>
      <c r="BE93" s="4">
        <v>2575713400</v>
      </c>
      <c r="BF93" s="4">
        <v>1989442400</v>
      </c>
      <c r="BG93" s="4">
        <v>1287208700</v>
      </c>
      <c r="BH93" s="4">
        <v>2413777200</v>
      </c>
      <c r="BI93" s="4">
        <v>2576352800</v>
      </c>
      <c r="BJ93" s="4">
        <v>2291593600</v>
      </c>
      <c r="BK93" s="4">
        <v>2557701800</v>
      </c>
      <c r="BL93" s="4">
        <v>2517833100</v>
      </c>
      <c r="BM93" s="4">
        <v>2872627100</v>
      </c>
    </row>
    <row r="94" spans="1:65" x14ac:dyDescent="0.25">
      <c r="A94" s="1">
        <v>14</v>
      </c>
      <c r="B94" s="1">
        <f>VLOOKUP(E94,'[2]Peajes (1)'!$A:$D,4,0)</f>
        <v>3904</v>
      </c>
      <c r="C94" s="3" t="s">
        <v>21</v>
      </c>
      <c r="D94" s="3" t="s">
        <v>22</v>
      </c>
      <c r="E94" s="3" t="s">
        <v>23</v>
      </c>
      <c r="F94" s="4">
        <v>1157061600</v>
      </c>
      <c r="G94" s="4">
        <v>819281500</v>
      </c>
      <c r="H94" s="4">
        <v>978894100</v>
      </c>
      <c r="I94" s="4">
        <v>999376200</v>
      </c>
      <c r="J94" s="4">
        <v>891812300</v>
      </c>
      <c r="K94" s="4">
        <v>925926600</v>
      </c>
      <c r="L94" s="4">
        <v>962069500</v>
      </c>
      <c r="M94" s="4">
        <v>973316600</v>
      </c>
      <c r="N94" s="4">
        <v>835721600</v>
      </c>
      <c r="O94" s="4">
        <v>968627300</v>
      </c>
      <c r="P94" s="4">
        <v>922247800</v>
      </c>
      <c r="Q94" s="4">
        <v>1138067300</v>
      </c>
      <c r="R94" s="4">
        <v>1246563000</v>
      </c>
      <c r="S94" s="4">
        <v>957797500</v>
      </c>
      <c r="T94" s="4">
        <v>1000693200</v>
      </c>
      <c r="U94" s="4">
        <v>1007288300</v>
      </c>
      <c r="V94" s="4">
        <v>993394300</v>
      </c>
      <c r="W94" s="4">
        <v>1047211200</v>
      </c>
      <c r="X94" s="4">
        <v>1087733100</v>
      </c>
      <c r="Y94" s="4">
        <v>1043921800</v>
      </c>
      <c r="Z94" s="4">
        <v>933422300</v>
      </c>
      <c r="AA94" s="4">
        <v>1066693900</v>
      </c>
      <c r="AB94" s="4">
        <v>1068220800</v>
      </c>
      <c r="AC94" s="4">
        <v>1271817900</v>
      </c>
      <c r="AD94" s="4">
        <v>1360247800</v>
      </c>
      <c r="AE94" s="4">
        <v>1119857700</v>
      </c>
      <c r="AF94" s="4">
        <v>1254757105</v>
      </c>
      <c r="AG94" s="4">
        <v>1027319100</v>
      </c>
      <c r="AH94" s="4">
        <v>1107914600</v>
      </c>
      <c r="AI94" s="4">
        <v>1134948800</v>
      </c>
      <c r="AJ94" s="4">
        <v>1287230300</v>
      </c>
      <c r="AK94" s="4">
        <v>1194285500</v>
      </c>
      <c r="AL94" s="4">
        <v>1074857000</v>
      </c>
      <c r="AM94" s="4">
        <v>1209087500</v>
      </c>
      <c r="AN94" s="4">
        <v>1154353000</v>
      </c>
      <c r="AO94" s="4">
        <v>1409644600</v>
      </c>
      <c r="AP94" s="4">
        <v>1604925800</v>
      </c>
      <c r="AQ94" s="4">
        <v>1297685000</v>
      </c>
      <c r="AR94" s="4">
        <v>1298239600</v>
      </c>
      <c r="AS94" s="4">
        <v>1355638600</v>
      </c>
      <c r="AT94" s="4">
        <v>1168034200</v>
      </c>
      <c r="AU94" s="4">
        <v>1308688300</v>
      </c>
      <c r="AV94" s="4">
        <v>1409359600</v>
      </c>
      <c r="AW94" s="4">
        <v>1287930300</v>
      </c>
      <c r="AX94" s="4">
        <v>1257138300</v>
      </c>
      <c r="AY94" s="4">
        <v>1434037300</v>
      </c>
      <c r="AZ94" s="4">
        <v>1272099100</v>
      </c>
      <c r="BA94" s="4">
        <v>1531198900</v>
      </c>
      <c r="BB94" s="4">
        <v>1697954400</v>
      </c>
      <c r="BC94" s="4">
        <v>1368183100</v>
      </c>
      <c r="BD94" s="4">
        <v>1574193200</v>
      </c>
      <c r="BE94" s="4">
        <v>1361276500</v>
      </c>
      <c r="BF94" s="4">
        <v>1282236400</v>
      </c>
      <c r="BG94" s="4">
        <v>1381678100</v>
      </c>
      <c r="BH94" s="4">
        <v>1551745100</v>
      </c>
      <c r="BI94" s="4">
        <v>1478232100</v>
      </c>
      <c r="BJ94" s="4">
        <v>1318668800</v>
      </c>
      <c r="BK94" s="4">
        <v>1454829300</v>
      </c>
      <c r="BL94" s="4">
        <v>1437096000</v>
      </c>
      <c r="BM94" s="4">
        <v>1765275600</v>
      </c>
    </row>
    <row r="95" spans="1:65" x14ac:dyDescent="0.25">
      <c r="A95" s="1">
        <v>119</v>
      </c>
      <c r="B95" s="1">
        <f>VLOOKUP(E95,'[2]Peajes (1)'!$A:$D,4,0)</f>
        <v>3938</v>
      </c>
      <c r="C95" s="3" t="s">
        <v>177</v>
      </c>
      <c r="D95" s="3" t="s">
        <v>178</v>
      </c>
      <c r="E95" s="3" t="s">
        <v>182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89973700</v>
      </c>
      <c r="AC95" s="4">
        <v>837595800</v>
      </c>
      <c r="AD95" s="4">
        <v>1011029900</v>
      </c>
      <c r="AE95" s="4">
        <v>653211700</v>
      </c>
      <c r="AF95" s="4">
        <v>838102600</v>
      </c>
      <c r="AG95" s="4">
        <v>604127400</v>
      </c>
      <c r="AH95" s="4">
        <v>701718900</v>
      </c>
      <c r="AI95" s="4">
        <v>1021535800</v>
      </c>
      <c r="AJ95" s="4">
        <v>1024817100</v>
      </c>
      <c r="AK95" s="4">
        <v>864602300</v>
      </c>
      <c r="AL95" s="4">
        <v>783102900</v>
      </c>
      <c r="AM95" s="4">
        <v>885613700</v>
      </c>
      <c r="AN95" s="4">
        <v>842121000</v>
      </c>
      <c r="AO95" s="4">
        <v>1040575300</v>
      </c>
      <c r="AP95" s="4">
        <v>1320860500</v>
      </c>
      <c r="AQ95" s="4">
        <v>720857800</v>
      </c>
      <c r="AR95" s="4">
        <v>837182000</v>
      </c>
      <c r="AS95" s="4">
        <v>1107623100</v>
      </c>
      <c r="AT95" s="4">
        <v>806559100</v>
      </c>
      <c r="AU95" s="4">
        <v>941225550</v>
      </c>
      <c r="AV95" s="4">
        <v>968318600</v>
      </c>
      <c r="AW95" s="4">
        <v>933511700</v>
      </c>
      <c r="AX95" s="4">
        <v>814192600</v>
      </c>
      <c r="AY95" s="4">
        <v>892373900</v>
      </c>
      <c r="AZ95" s="4">
        <v>868408000</v>
      </c>
      <c r="BA95" s="4">
        <v>1076174200</v>
      </c>
      <c r="BB95" s="4">
        <v>1367271200</v>
      </c>
      <c r="BC95" s="4">
        <v>729917300</v>
      </c>
      <c r="BD95" s="4">
        <v>1042166000</v>
      </c>
      <c r="BE95" s="4">
        <v>829257400</v>
      </c>
      <c r="BF95" s="4">
        <v>865436800</v>
      </c>
      <c r="BG95" s="4">
        <v>1124086200</v>
      </c>
      <c r="BH95" s="4">
        <v>1079628500</v>
      </c>
      <c r="BI95" s="4">
        <v>978131500</v>
      </c>
      <c r="BJ95" s="4">
        <v>904462500</v>
      </c>
      <c r="BK95" s="4">
        <v>1024705000</v>
      </c>
      <c r="BL95" s="4">
        <v>930243400</v>
      </c>
      <c r="BM95" s="4">
        <v>1171301300</v>
      </c>
    </row>
    <row r="96" spans="1:65" x14ac:dyDescent="0.25">
      <c r="A96" s="1">
        <v>42</v>
      </c>
      <c r="B96" s="1">
        <f>VLOOKUP(E96,'[2]Peajes (1)'!$A:$D,4,0)</f>
        <v>5606</v>
      </c>
      <c r="C96" s="3" t="s">
        <v>59</v>
      </c>
      <c r="D96" s="3" t="s">
        <v>60</v>
      </c>
      <c r="E96" s="3" t="s">
        <v>65</v>
      </c>
      <c r="F96" s="4">
        <v>2675339200</v>
      </c>
      <c r="G96" s="4">
        <v>2425652800</v>
      </c>
      <c r="H96" s="4">
        <v>2584445100</v>
      </c>
      <c r="I96" s="4">
        <v>2698795900</v>
      </c>
      <c r="J96" s="4">
        <v>2668990900</v>
      </c>
      <c r="K96" s="4">
        <v>2594863000</v>
      </c>
      <c r="L96" s="4">
        <v>2853719900</v>
      </c>
      <c r="M96" s="4">
        <v>2791359100</v>
      </c>
      <c r="N96" s="4">
        <v>2756993700</v>
      </c>
      <c r="O96" s="4">
        <v>2798139900</v>
      </c>
      <c r="P96" s="4">
        <v>2737942000</v>
      </c>
      <c r="Q96" s="4">
        <v>2865309400</v>
      </c>
      <c r="R96" s="4">
        <v>2868976900</v>
      </c>
      <c r="S96" s="4">
        <v>2604695100</v>
      </c>
      <c r="T96" s="4">
        <v>2577604600</v>
      </c>
      <c r="U96" s="4">
        <v>2900594200</v>
      </c>
      <c r="V96" s="4">
        <v>2935497600</v>
      </c>
      <c r="W96" s="4">
        <v>2884073100</v>
      </c>
      <c r="X96" s="4">
        <v>3051909400</v>
      </c>
      <c r="Y96" s="4">
        <v>3121119000</v>
      </c>
      <c r="Z96" s="4">
        <v>2902410300</v>
      </c>
      <c r="AA96" s="4">
        <v>3066401000</v>
      </c>
      <c r="AB96" s="4">
        <v>2875509800</v>
      </c>
      <c r="AC96" s="4">
        <v>3003124100</v>
      </c>
      <c r="AD96" s="4">
        <v>3327483100</v>
      </c>
      <c r="AE96" s="4">
        <v>2997275200</v>
      </c>
      <c r="AF96" s="4">
        <v>3275832100</v>
      </c>
      <c r="AG96" s="4">
        <v>3093007700</v>
      </c>
      <c r="AH96" s="4">
        <v>3255562700</v>
      </c>
      <c r="AI96" s="4">
        <v>2847849100</v>
      </c>
      <c r="AJ96" s="4">
        <v>2835463500</v>
      </c>
      <c r="AK96" s="4">
        <v>3600457600</v>
      </c>
      <c r="AL96" s="4">
        <v>3237212700</v>
      </c>
      <c r="AM96" s="4">
        <v>3436143200</v>
      </c>
      <c r="AN96" s="4">
        <v>3377923000</v>
      </c>
      <c r="AO96" s="4">
        <v>3378960400</v>
      </c>
      <c r="AP96" s="4">
        <v>3415977300</v>
      </c>
      <c r="AQ96" s="4">
        <v>3142910400</v>
      </c>
      <c r="AR96" s="4">
        <v>3350933800</v>
      </c>
      <c r="AS96" s="4">
        <v>3330294300</v>
      </c>
      <c r="AT96" s="4">
        <v>2944960100</v>
      </c>
      <c r="AU96" s="4">
        <v>3412703000</v>
      </c>
      <c r="AV96" s="4">
        <v>3596779500</v>
      </c>
      <c r="AW96" s="4">
        <v>3382978100</v>
      </c>
      <c r="AX96" s="4">
        <v>3229057700</v>
      </c>
      <c r="AY96" s="4">
        <v>3356092500</v>
      </c>
      <c r="AZ96" s="4">
        <v>3423605700</v>
      </c>
      <c r="BA96" s="4">
        <v>3402845100</v>
      </c>
      <c r="BB96" s="4">
        <v>3484480200</v>
      </c>
      <c r="BC96" s="4">
        <v>3224558200</v>
      </c>
      <c r="BD96" s="4">
        <v>3444116600</v>
      </c>
      <c r="BE96" s="4">
        <v>3399880600</v>
      </c>
      <c r="BF96" s="4">
        <v>3358997900</v>
      </c>
      <c r="BG96" s="4">
        <v>3353897900</v>
      </c>
      <c r="BH96" s="4">
        <v>3547452100</v>
      </c>
      <c r="BI96" s="4">
        <v>3704075700</v>
      </c>
      <c r="BJ96" s="4">
        <v>3407258100</v>
      </c>
      <c r="BK96" s="4">
        <v>3579189900</v>
      </c>
      <c r="BL96" s="4">
        <v>0</v>
      </c>
      <c r="BM96" s="4">
        <v>0</v>
      </c>
    </row>
    <row r="97" spans="1:65" x14ac:dyDescent="0.25">
      <c r="A97" s="1">
        <v>81</v>
      </c>
      <c r="B97" s="1">
        <f>VLOOKUP(E97,'[2]Peajes (1)'!$A:$D,4,0)</f>
        <v>3995</v>
      </c>
      <c r="C97" s="3" t="s">
        <v>112</v>
      </c>
      <c r="D97" s="3" t="s">
        <v>113</v>
      </c>
      <c r="E97" s="3" t="s">
        <v>117</v>
      </c>
      <c r="F97" s="4">
        <v>2755341400</v>
      </c>
      <c r="G97" s="4">
        <v>2078174800</v>
      </c>
      <c r="H97" s="4">
        <v>2176287500</v>
      </c>
      <c r="I97" s="4">
        <v>2410184100</v>
      </c>
      <c r="J97" s="4">
        <v>2301616300</v>
      </c>
      <c r="K97" s="4">
        <v>2386424000</v>
      </c>
      <c r="L97" s="4">
        <v>2523562600</v>
      </c>
      <c r="M97" s="4">
        <v>2303971600</v>
      </c>
      <c r="N97" s="4">
        <v>2217784700</v>
      </c>
      <c r="O97" s="4">
        <v>2426474300</v>
      </c>
      <c r="P97" s="4">
        <v>2280953200</v>
      </c>
      <c r="Q97" s="4">
        <v>2501837900</v>
      </c>
      <c r="R97" s="4">
        <v>2700908300</v>
      </c>
      <c r="S97" s="4">
        <v>2300197800</v>
      </c>
      <c r="T97" s="4">
        <v>2491848800</v>
      </c>
      <c r="U97" s="4">
        <v>2507392900</v>
      </c>
      <c r="V97" s="4">
        <v>2508190200</v>
      </c>
      <c r="W97" s="4">
        <v>2505054700</v>
      </c>
      <c r="X97" s="4">
        <v>2805947900</v>
      </c>
      <c r="Y97" s="4">
        <v>2690871400</v>
      </c>
      <c r="Z97" s="4">
        <v>2697649100</v>
      </c>
      <c r="AA97" s="4">
        <v>2821839100</v>
      </c>
      <c r="AB97" s="4">
        <v>2686924400</v>
      </c>
      <c r="AC97" s="4">
        <v>2957177400</v>
      </c>
      <c r="AD97" s="4">
        <v>3257141600</v>
      </c>
      <c r="AE97" s="4">
        <v>2652463500</v>
      </c>
      <c r="AF97" s="4">
        <v>2850505400</v>
      </c>
      <c r="AG97" s="4">
        <v>2690094300</v>
      </c>
      <c r="AH97" s="4">
        <v>2548158700</v>
      </c>
      <c r="AI97" s="4">
        <v>2550548400</v>
      </c>
      <c r="AJ97" s="4">
        <v>2341787100</v>
      </c>
      <c r="AK97" s="4">
        <v>2728462700</v>
      </c>
      <c r="AL97" s="4">
        <v>2571117800</v>
      </c>
      <c r="AM97" s="4">
        <v>2665293200</v>
      </c>
      <c r="AN97" s="4">
        <v>2651740600</v>
      </c>
      <c r="AO97" s="4">
        <v>2989292500</v>
      </c>
      <c r="AP97" s="4">
        <v>3406072100</v>
      </c>
      <c r="AQ97" s="4">
        <v>2614997600</v>
      </c>
      <c r="AR97" s="4">
        <v>2863700300</v>
      </c>
      <c r="AS97" s="4">
        <v>2972648400</v>
      </c>
      <c r="AT97" s="4">
        <v>2825286100</v>
      </c>
      <c r="AU97" s="4">
        <v>2880574300</v>
      </c>
      <c r="AV97" s="4">
        <v>2849340200</v>
      </c>
      <c r="AW97" s="4">
        <v>2873714400</v>
      </c>
      <c r="AX97" s="4">
        <v>2852240400</v>
      </c>
      <c r="AY97" s="4">
        <v>1988270500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</row>
    <row r="98" spans="1:65" x14ac:dyDescent="0.25">
      <c r="A98" s="1">
        <v>12</v>
      </c>
      <c r="B98" s="1">
        <f>VLOOKUP(E98,'[2]Peajes (1)'!$A:$D,4,0)</f>
        <v>3997</v>
      </c>
      <c r="C98" s="3" t="s">
        <v>17</v>
      </c>
      <c r="D98" s="3" t="s">
        <v>18</v>
      </c>
      <c r="E98" s="3" t="s">
        <v>246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>
        <v>6151722300</v>
      </c>
      <c r="AE98" s="4">
        <v>5060256600</v>
      </c>
      <c r="AF98" s="4">
        <v>5414160600</v>
      </c>
      <c r="AG98" s="4">
        <v>4787062400</v>
      </c>
      <c r="AH98" s="4">
        <v>4757354600</v>
      </c>
      <c r="AI98" s="4">
        <v>4686506700</v>
      </c>
      <c r="AJ98" s="4">
        <v>4450845900</v>
      </c>
      <c r="AK98" s="4">
        <v>4923661000</v>
      </c>
      <c r="AL98" s="4">
        <v>4778198800</v>
      </c>
      <c r="AM98" s="4">
        <v>4948709500</v>
      </c>
      <c r="AN98" s="4">
        <v>4876931300</v>
      </c>
      <c r="AO98" s="4">
        <v>5620365000</v>
      </c>
      <c r="AP98" s="4">
        <v>5614381700</v>
      </c>
      <c r="AQ98" s="4">
        <v>4431196700</v>
      </c>
      <c r="AR98" s="4">
        <v>5142887900</v>
      </c>
      <c r="AS98" s="4">
        <v>5161596100</v>
      </c>
      <c r="AT98" s="4">
        <v>4796724000</v>
      </c>
      <c r="AU98" s="4">
        <v>4763385500</v>
      </c>
      <c r="AV98" s="4">
        <v>4907730500</v>
      </c>
      <c r="AW98" s="4">
        <v>5231339300</v>
      </c>
      <c r="AX98" s="4">
        <v>4872098200</v>
      </c>
      <c r="AY98" s="4">
        <v>5221254300</v>
      </c>
      <c r="AZ98" s="4">
        <v>5089617700</v>
      </c>
      <c r="BA98" s="4">
        <v>5966037200</v>
      </c>
      <c r="BB98" s="4">
        <v>5846016700</v>
      </c>
      <c r="BC98" s="4">
        <v>4148017200</v>
      </c>
      <c r="BD98" s="4">
        <v>5174756700</v>
      </c>
      <c r="BE98" s="4">
        <v>4763734700</v>
      </c>
      <c r="BF98" s="4">
        <v>4568986800</v>
      </c>
      <c r="BG98" s="4">
        <v>4794435700</v>
      </c>
      <c r="BH98" s="4">
        <v>4804665900</v>
      </c>
      <c r="BI98" s="4">
        <v>4102835900</v>
      </c>
      <c r="BJ98" s="4">
        <v>4277302600</v>
      </c>
      <c r="BK98" s="4">
        <v>5158328700</v>
      </c>
      <c r="BL98" s="4">
        <v>5119970000</v>
      </c>
      <c r="BM98" s="4">
        <v>5920576500</v>
      </c>
    </row>
    <row r="99" spans="1:65" x14ac:dyDescent="0.25">
      <c r="A99" s="1">
        <v>36</v>
      </c>
      <c r="B99" s="1">
        <f>VLOOKUP(E99,'[2]Peajes (1)'!$A:$D,4,0)</f>
        <v>3863</v>
      </c>
      <c r="C99" s="3" t="s">
        <v>53</v>
      </c>
      <c r="D99" s="3" t="s">
        <v>54</v>
      </c>
      <c r="E99" s="3" t="s">
        <v>255</v>
      </c>
      <c r="F99" s="4">
        <v>1288700200</v>
      </c>
      <c r="G99" s="4">
        <v>837507800</v>
      </c>
      <c r="H99" s="4">
        <v>964402000</v>
      </c>
      <c r="I99" s="4">
        <v>971537200</v>
      </c>
      <c r="J99" s="4">
        <v>819703700</v>
      </c>
      <c r="K99" s="4">
        <v>945984300</v>
      </c>
      <c r="L99" s="4">
        <v>991699100</v>
      </c>
      <c r="M99" s="4">
        <v>999834300</v>
      </c>
      <c r="N99" s="4">
        <v>938083000</v>
      </c>
      <c r="O99" s="4">
        <v>910602900</v>
      </c>
      <c r="P99" s="4">
        <v>891644900</v>
      </c>
      <c r="Q99" s="4">
        <v>1016347300</v>
      </c>
      <c r="R99" s="4">
        <v>1223136500</v>
      </c>
      <c r="S99" s="4">
        <v>850387200</v>
      </c>
      <c r="T99" s="4">
        <v>941158900</v>
      </c>
      <c r="U99" s="4">
        <v>928725600</v>
      </c>
      <c r="V99" s="4">
        <v>952807400</v>
      </c>
      <c r="W99" s="4">
        <v>919030700</v>
      </c>
      <c r="X99" s="4">
        <v>915580900</v>
      </c>
      <c r="Y99" s="4">
        <v>915215200</v>
      </c>
      <c r="Z99" s="4">
        <v>870155300</v>
      </c>
      <c r="AA99" s="4">
        <v>914374800</v>
      </c>
      <c r="AB99" s="4">
        <v>894583000</v>
      </c>
      <c r="AC99" s="4">
        <v>1123136900</v>
      </c>
      <c r="AD99" s="4">
        <v>1506060500</v>
      </c>
      <c r="AE99" s="4">
        <v>1028074100</v>
      </c>
      <c r="AF99" s="4">
        <v>1309454800</v>
      </c>
      <c r="AG99" s="4">
        <v>1044905200</v>
      </c>
      <c r="AH99" s="4">
        <v>1028635600</v>
      </c>
      <c r="AI99" s="4">
        <v>1091088800</v>
      </c>
      <c r="AJ99" s="4">
        <v>1094996000</v>
      </c>
      <c r="AK99" s="4">
        <v>1153804800</v>
      </c>
      <c r="AL99" s="4">
        <v>1061121100</v>
      </c>
      <c r="AM99" s="4">
        <v>1109666100</v>
      </c>
      <c r="AN99" s="4">
        <v>1162340400</v>
      </c>
      <c r="AO99" s="4">
        <v>1337612500</v>
      </c>
      <c r="AP99" s="4">
        <v>1674184900</v>
      </c>
      <c r="AQ99" s="4">
        <v>1147453100</v>
      </c>
      <c r="AR99" s="4">
        <v>1259993000</v>
      </c>
      <c r="AS99" s="4">
        <v>1306100700</v>
      </c>
      <c r="AT99" s="4">
        <v>1270918500</v>
      </c>
      <c r="AU99" s="4">
        <v>1284357600</v>
      </c>
      <c r="AV99" s="4">
        <v>1460220500</v>
      </c>
      <c r="AW99" s="4">
        <v>1227180800</v>
      </c>
      <c r="AX99" s="4">
        <v>1137648000</v>
      </c>
      <c r="AY99" s="4">
        <v>1428481000</v>
      </c>
      <c r="AZ99" s="4">
        <v>1359347200</v>
      </c>
      <c r="BA99" s="4">
        <v>1603521100</v>
      </c>
      <c r="BB99" s="4">
        <v>1913133300</v>
      </c>
      <c r="BC99" s="4">
        <v>1256051800</v>
      </c>
      <c r="BD99" s="4">
        <v>1653135600</v>
      </c>
      <c r="BE99" s="4">
        <v>1469468900</v>
      </c>
      <c r="BF99" s="4">
        <v>1409320300</v>
      </c>
      <c r="BG99" s="4">
        <v>1481512800</v>
      </c>
      <c r="BH99" s="4">
        <v>1788723200</v>
      </c>
      <c r="BI99" s="4">
        <v>1767100500</v>
      </c>
      <c r="BJ99" s="4">
        <v>1553205700</v>
      </c>
      <c r="BK99" s="4">
        <v>1593510900</v>
      </c>
      <c r="BL99" s="4">
        <v>1607886900</v>
      </c>
      <c r="BM99" s="4">
        <v>1785898100</v>
      </c>
    </row>
    <row r="100" spans="1:65" s="10" customFormat="1" x14ac:dyDescent="0.25">
      <c r="A100" s="8">
        <v>136</v>
      </c>
      <c r="B100" s="1">
        <f>VLOOKUP(E100,'[2]Peajes (1)'!$A:$D,4,0)</f>
        <v>3854</v>
      </c>
      <c r="C100" s="8" t="s">
        <v>199</v>
      </c>
      <c r="D100" s="8" t="s">
        <v>200</v>
      </c>
      <c r="E100" s="8" t="s">
        <v>52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657509100</v>
      </c>
      <c r="AJ100" s="11">
        <v>1840742500</v>
      </c>
      <c r="AK100" s="11">
        <v>1895569350</v>
      </c>
      <c r="AL100" s="11">
        <v>1777273900</v>
      </c>
      <c r="AM100" s="11">
        <v>1944191550</v>
      </c>
      <c r="AN100" s="11">
        <v>1895418400</v>
      </c>
      <c r="AO100" s="11">
        <v>2179109650</v>
      </c>
      <c r="AP100" s="11">
        <v>2167210500</v>
      </c>
      <c r="AQ100" s="11">
        <v>1723983200</v>
      </c>
      <c r="AR100" s="11">
        <v>1896397500</v>
      </c>
      <c r="AS100" s="11">
        <v>1978841000</v>
      </c>
      <c r="AT100" s="11">
        <v>1843133900</v>
      </c>
      <c r="AU100" s="11">
        <v>2104763800</v>
      </c>
      <c r="AV100" s="11">
        <v>2172916650</v>
      </c>
      <c r="AW100" s="11">
        <v>2029676150</v>
      </c>
      <c r="AX100" s="11">
        <v>1872003150</v>
      </c>
      <c r="AY100" s="11">
        <v>2105333350</v>
      </c>
      <c r="AZ100" s="11">
        <v>2019520300</v>
      </c>
      <c r="BA100" s="11">
        <v>2416130550</v>
      </c>
      <c r="BB100" s="11">
        <v>2430152050</v>
      </c>
      <c r="BC100" s="11">
        <v>1914913100</v>
      </c>
      <c r="BD100" s="11">
        <v>2337416650</v>
      </c>
      <c r="BE100" s="11">
        <v>2114081600</v>
      </c>
      <c r="BF100" s="11">
        <v>2133371950</v>
      </c>
      <c r="BG100" s="11">
        <v>2306387950</v>
      </c>
      <c r="BH100" s="11">
        <v>2374300200</v>
      </c>
      <c r="BI100" s="11">
        <v>2250838700</v>
      </c>
      <c r="BJ100" s="11">
        <v>2102632000</v>
      </c>
      <c r="BK100" s="11">
        <v>2381275250</v>
      </c>
      <c r="BL100" s="11">
        <v>2330950600</v>
      </c>
      <c r="BM100" s="11">
        <v>2720462000</v>
      </c>
    </row>
    <row r="101" spans="1:65" s="10" customFormat="1" hidden="1" x14ac:dyDescent="0.25">
      <c r="A101" s="8">
        <v>28</v>
      </c>
      <c r="B101" s="1">
        <f>VLOOKUP(E101,'[2]Peajes (1)'!$A:$D,4,0)</f>
        <v>3853</v>
      </c>
      <c r="C101" s="8" t="s">
        <v>41</v>
      </c>
      <c r="D101" s="8" t="s">
        <v>42</v>
      </c>
      <c r="E101" s="8" t="s">
        <v>45</v>
      </c>
      <c r="F101" s="11">
        <v>2767537050</v>
      </c>
      <c r="G101" s="11">
        <v>2070536700</v>
      </c>
      <c r="H101" s="11">
        <v>2387088100</v>
      </c>
      <c r="I101" s="11">
        <v>2515867900</v>
      </c>
      <c r="J101" s="11">
        <v>2544618500</v>
      </c>
      <c r="K101" s="11">
        <v>2518670700</v>
      </c>
      <c r="L101" s="11">
        <v>2679235050</v>
      </c>
      <c r="M101" s="11">
        <v>2711239800</v>
      </c>
      <c r="N101" s="11">
        <v>2707582600</v>
      </c>
      <c r="O101" s="11">
        <v>2888266150</v>
      </c>
      <c r="P101" s="11">
        <v>2655124500</v>
      </c>
      <c r="Q101" s="11">
        <v>3051867450</v>
      </c>
      <c r="R101" s="11">
        <v>3169494500</v>
      </c>
      <c r="S101" s="11">
        <v>2493550600</v>
      </c>
      <c r="T101" s="11">
        <v>2743438550</v>
      </c>
      <c r="U101" s="11">
        <v>2605764600</v>
      </c>
      <c r="V101" s="11">
        <v>2679763500</v>
      </c>
      <c r="W101" s="11">
        <v>672674200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</row>
    <row r="102" spans="1:65" s="10" customFormat="1" hidden="1" x14ac:dyDescent="0.25">
      <c r="A102" s="8">
        <v>132</v>
      </c>
      <c r="B102" s="1">
        <f>VLOOKUP(E102,'[2]Peajes (1)'!$A:$D,4,0)</f>
        <v>3853</v>
      </c>
      <c r="C102" s="8" t="s">
        <v>195</v>
      </c>
      <c r="D102" s="8" t="s">
        <v>196</v>
      </c>
      <c r="E102" s="8" t="s">
        <v>45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2133787850</v>
      </c>
      <c r="X102" s="11">
        <v>3078817150</v>
      </c>
      <c r="Y102" s="11">
        <v>2990970250</v>
      </c>
      <c r="Z102" s="11">
        <v>2922816650</v>
      </c>
      <c r="AA102" s="11">
        <v>3126789700</v>
      </c>
      <c r="AB102" s="11">
        <v>2871612300</v>
      </c>
      <c r="AC102" s="11">
        <v>3330799800</v>
      </c>
      <c r="AD102" s="11">
        <v>3347278900</v>
      </c>
      <c r="AE102" s="11">
        <v>2683015050</v>
      </c>
      <c r="AF102" s="11">
        <v>2881383900</v>
      </c>
      <c r="AG102" s="11">
        <v>2591092800</v>
      </c>
      <c r="AH102" s="11">
        <v>2696249450</v>
      </c>
      <c r="AI102" s="11">
        <v>2671632250</v>
      </c>
      <c r="AJ102" s="11">
        <v>2606323000</v>
      </c>
      <c r="AK102" s="11">
        <v>2727102100</v>
      </c>
      <c r="AL102" s="11">
        <v>2557918550</v>
      </c>
      <c r="AM102" s="11">
        <v>2802626650</v>
      </c>
      <c r="AN102" s="11">
        <v>2786812750</v>
      </c>
      <c r="AO102" s="11">
        <v>3112532400</v>
      </c>
      <c r="AP102" s="11">
        <v>3332072650</v>
      </c>
      <c r="AQ102" s="11">
        <v>2720063500</v>
      </c>
      <c r="AR102" s="11">
        <v>2994432300</v>
      </c>
      <c r="AS102" s="11">
        <v>2916701350</v>
      </c>
      <c r="AT102" s="11">
        <v>2826455650</v>
      </c>
      <c r="AU102" s="11">
        <v>2616521400</v>
      </c>
      <c r="AV102" s="11">
        <v>2832452400</v>
      </c>
      <c r="AW102" s="11">
        <v>2976982100</v>
      </c>
      <c r="AX102" s="11">
        <v>2759051750</v>
      </c>
      <c r="AY102" s="11">
        <v>2934272150</v>
      </c>
      <c r="AZ102" s="11">
        <v>2913321250</v>
      </c>
      <c r="BA102" s="11">
        <v>3257351000</v>
      </c>
      <c r="BB102" s="11">
        <v>3319209450</v>
      </c>
      <c r="BC102" s="11">
        <v>2419350100</v>
      </c>
      <c r="BD102" s="11">
        <v>2937588800</v>
      </c>
      <c r="BE102" s="11">
        <v>2762345050</v>
      </c>
      <c r="BF102" s="11">
        <v>2823569500</v>
      </c>
      <c r="BG102" s="11">
        <v>2829360200</v>
      </c>
      <c r="BH102" s="11">
        <v>3033999550</v>
      </c>
      <c r="BI102" s="11">
        <v>2870923850</v>
      </c>
      <c r="BJ102" s="11">
        <v>2977876700</v>
      </c>
      <c r="BK102" s="11">
        <v>3221020600</v>
      </c>
      <c r="BL102" s="11">
        <v>3190446000</v>
      </c>
      <c r="BM102" s="11">
        <v>3570245400</v>
      </c>
    </row>
    <row r="103" spans="1:65" s="10" customFormat="1" x14ac:dyDescent="0.25">
      <c r="A103" s="8">
        <v>132</v>
      </c>
      <c r="B103" s="1">
        <f>VLOOKUP(E103,'[2]Peajes (1)'!$A:$D,4,0)</f>
        <v>3853</v>
      </c>
      <c r="C103" s="8" t="s">
        <v>195</v>
      </c>
      <c r="D103" s="8" t="s">
        <v>196</v>
      </c>
      <c r="E103" s="8" t="s">
        <v>45</v>
      </c>
      <c r="F103" s="11">
        <f>SUM(F101:F102)</f>
        <v>2767537050</v>
      </c>
      <c r="G103" s="11">
        <f t="shared" ref="G103:BM103" si="57">SUM(G101:G102)</f>
        <v>2070536700</v>
      </c>
      <c r="H103" s="11">
        <f t="shared" si="57"/>
        <v>2387088100</v>
      </c>
      <c r="I103" s="11">
        <f t="shared" si="57"/>
        <v>2515867900</v>
      </c>
      <c r="J103" s="11">
        <f t="shared" si="57"/>
        <v>2544618500</v>
      </c>
      <c r="K103" s="11">
        <f t="shared" si="57"/>
        <v>2518670700</v>
      </c>
      <c r="L103" s="11">
        <f t="shared" si="57"/>
        <v>2679235050</v>
      </c>
      <c r="M103" s="11">
        <f t="shared" si="57"/>
        <v>2711239800</v>
      </c>
      <c r="N103" s="11">
        <f t="shared" si="57"/>
        <v>2707582600</v>
      </c>
      <c r="O103" s="11">
        <f t="shared" si="57"/>
        <v>2888266150</v>
      </c>
      <c r="P103" s="11">
        <f t="shared" si="57"/>
        <v>2655124500</v>
      </c>
      <c r="Q103" s="11">
        <f t="shared" si="57"/>
        <v>3051867450</v>
      </c>
      <c r="R103" s="11">
        <f t="shared" si="57"/>
        <v>3169494500</v>
      </c>
      <c r="S103" s="11">
        <f t="shared" si="57"/>
        <v>2493550600</v>
      </c>
      <c r="T103" s="11">
        <f t="shared" si="57"/>
        <v>2743438550</v>
      </c>
      <c r="U103" s="11">
        <f t="shared" si="57"/>
        <v>2605764600</v>
      </c>
      <c r="V103" s="11">
        <f t="shared" si="57"/>
        <v>2679763500</v>
      </c>
      <c r="W103" s="11">
        <f t="shared" si="57"/>
        <v>2806462050</v>
      </c>
      <c r="X103" s="11">
        <f t="shared" si="57"/>
        <v>3078817150</v>
      </c>
      <c r="Y103" s="11">
        <f t="shared" si="57"/>
        <v>2990970250</v>
      </c>
      <c r="Z103" s="11">
        <f t="shared" si="57"/>
        <v>2922816650</v>
      </c>
      <c r="AA103" s="11">
        <f t="shared" si="57"/>
        <v>3126789700</v>
      </c>
      <c r="AB103" s="11">
        <f t="shared" si="57"/>
        <v>2871612300</v>
      </c>
      <c r="AC103" s="11">
        <f t="shared" si="57"/>
        <v>3330799800</v>
      </c>
      <c r="AD103" s="11">
        <f t="shared" si="57"/>
        <v>3347278900</v>
      </c>
      <c r="AE103" s="11">
        <f t="shared" si="57"/>
        <v>2683015050</v>
      </c>
      <c r="AF103" s="11">
        <f t="shared" si="57"/>
        <v>2881383900</v>
      </c>
      <c r="AG103" s="11">
        <f t="shared" si="57"/>
        <v>2591092800</v>
      </c>
      <c r="AH103" s="11">
        <f t="shared" si="57"/>
        <v>2696249450</v>
      </c>
      <c r="AI103" s="11">
        <f t="shared" si="57"/>
        <v>2671632250</v>
      </c>
      <c r="AJ103" s="11">
        <f t="shared" si="57"/>
        <v>2606323000</v>
      </c>
      <c r="AK103" s="11">
        <f t="shared" si="57"/>
        <v>2727102100</v>
      </c>
      <c r="AL103" s="11">
        <f t="shared" si="57"/>
        <v>2557918550</v>
      </c>
      <c r="AM103" s="11">
        <f t="shared" si="57"/>
        <v>2802626650</v>
      </c>
      <c r="AN103" s="11">
        <f t="shared" si="57"/>
        <v>2786812750</v>
      </c>
      <c r="AO103" s="11">
        <f t="shared" si="57"/>
        <v>3112532400</v>
      </c>
      <c r="AP103" s="11">
        <f t="shared" si="57"/>
        <v>3332072650</v>
      </c>
      <c r="AQ103" s="11">
        <f t="shared" si="57"/>
        <v>2720063500</v>
      </c>
      <c r="AR103" s="11">
        <f t="shared" si="57"/>
        <v>2994432300</v>
      </c>
      <c r="AS103" s="11">
        <f t="shared" si="57"/>
        <v>2916701350</v>
      </c>
      <c r="AT103" s="11">
        <f t="shared" si="57"/>
        <v>2826455650</v>
      </c>
      <c r="AU103" s="11">
        <f t="shared" si="57"/>
        <v>2616521400</v>
      </c>
      <c r="AV103" s="11">
        <f t="shared" si="57"/>
        <v>2832452400</v>
      </c>
      <c r="AW103" s="11">
        <f t="shared" si="57"/>
        <v>2976982100</v>
      </c>
      <c r="AX103" s="11">
        <f t="shared" si="57"/>
        <v>2759051750</v>
      </c>
      <c r="AY103" s="11">
        <f t="shared" si="57"/>
        <v>2934272150</v>
      </c>
      <c r="AZ103" s="11">
        <f t="shared" si="57"/>
        <v>2913321250</v>
      </c>
      <c r="BA103" s="11">
        <f t="shared" si="57"/>
        <v>3257351000</v>
      </c>
      <c r="BB103" s="11">
        <f t="shared" si="57"/>
        <v>3319209450</v>
      </c>
      <c r="BC103" s="11">
        <f t="shared" si="57"/>
        <v>2419350100</v>
      </c>
      <c r="BD103" s="11">
        <f t="shared" si="57"/>
        <v>2937588800</v>
      </c>
      <c r="BE103" s="11">
        <f t="shared" si="57"/>
        <v>2762345050</v>
      </c>
      <c r="BF103" s="11">
        <f t="shared" si="57"/>
        <v>2823569500</v>
      </c>
      <c r="BG103" s="11">
        <f t="shared" si="57"/>
        <v>2829360200</v>
      </c>
      <c r="BH103" s="11">
        <f t="shared" si="57"/>
        <v>3033999550</v>
      </c>
      <c r="BI103" s="11">
        <f t="shared" si="57"/>
        <v>2870923850</v>
      </c>
      <c r="BJ103" s="11">
        <f t="shared" si="57"/>
        <v>2977876700</v>
      </c>
      <c r="BK103" s="11">
        <f t="shared" si="57"/>
        <v>3221020600</v>
      </c>
      <c r="BL103" s="11">
        <f t="shared" si="57"/>
        <v>3190446000</v>
      </c>
      <c r="BM103" s="11">
        <f t="shared" si="57"/>
        <v>3570245400</v>
      </c>
    </row>
    <row r="104" spans="1:65" x14ac:dyDescent="0.25">
      <c r="A104" s="1">
        <v>155</v>
      </c>
      <c r="B104" s="1">
        <f>VLOOKUP(E104,'[2]Peajes (1)'!$A:$D,4,0)</f>
        <v>3839</v>
      </c>
      <c r="C104" s="3" t="s">
        <v>228</v>
      </c>
      <c r="D104" s="3" t="s">
        <v>229</v>
      </c>
      <c r="E104" s="3" t="s">
        <v>233</v>
      </c>
      <c r="F104" s="4">
        <v>1340549900</v>
      </c>
      <c r="G104" s="4">
        <v>933495000</v>
      </c>
      <c r="H104" s="4">
        <v>960876300</v>
      </c>
      <c r="I104" s="4">
        <v>1115492450</v>
      </c>
      <c r="J104" s="4">
        <v>1587141150</v>
      </c>
      <c r="K104" s="4">
        <v>1205957750</v>
      </c>
      <c r="L104" s="4">
        <v>1079141200</v>
      </c>
      <c r="M104" s="4">
        <v>1032419600</v>
      </c>
      <c r="N104" s="4">
        <v>970009850</v>
      </c>
      <c r="O104" s="4">
        <v>1108674450</v>
      </c>
      <c r="P104" s="4">
        <v>1180643900</v>
      </c>
      <c r="Q104" s="4">
        <v>1254203700</v>
      </c>
      <c r="R104" s="4">
        <v>1362479250</v>
      </c>
      <c r="S104" s="4">
        <v>940169800</v>
      </c>
      <c r="T104" s="4">
        <v>987395750</v>
      </c>
      <c r="U104" s="4">
        <v>1126894400</v>
      </c>
      <c r="V104" s="4">
        <v>1037384000</v>
      </c>
      <c r="W104" s="4">
        <v>1138804450</v>
      </c>
      <c r="X104" s="4">
        <v>1190684000</v>
      </c>
      <c r="Y104" s="4">
        <v>1084676700</v>
      </c>
      <c r="Z104" s="4">
        <v>1033875500</v>
      </c>
      <c r="AA104" s="4">
        <v>1180711300</v>
      </c>
      <c r="AB104" s="4">
        <v>1110700050</v>
      </c>
      <c r="AC104" s="4">
        <v>1331265100</v>
      </c>
      <c r="AD104" s="4">
        <v>1442324300</v>
      </c>
      <c r="AE104" s="4">
        <v>998620400</v>
      </c>
      <c r="AF104" s="4">
        <v>1249988500</v>
      </c>
      <c r="AG104" s="4">
        <v>1004880600</v>
      </c>
      <c r="AH104" s="4">
        <v>1099647850</v>
      </c>
      <c r="AI104" s="4">
        <v>1025016400</v>
      </c>
      <c r="AJ104" s="4">
        <v>887747350</v>
      </c>
      <c r="AK104" s="4">
        <v>1159787900</v>
      </c>
      <c r="AL104" s="4">
        <v>1102602800</v>
      </c>
      <c r="AM104" s="4">
        <v>1216323800</v>
      </c>
      <c r="AN104" s="4">
        <v>1198786200</v>
      </c>
      <c r="AO104" s="4">
        <v>1411113950</v>
      </c>
      <c r="AP104" s="4">
        <v>1571536500</v>
      </c>
      <c r="AQ104" s="4">
        <v>1079101200</v>
      </c>
      <c r="AR104" s="4">
        <v>1188110800</v>
      </c>
      <c r="AS104" s="4">
        <v>1343976900</v>
      </c>
      <c r="AT104" s="4">
        <v>1180928100</v>
      </c>
      <c r="AU104" s="4">
        <v>1256759500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</row>
    <row r="105" spans="1:65" x14ac:dyDescent="0.25">
      <c r="A105" s="1">
        <v>82</v>
      </c>
      <c r="B105" s="1">
        <f>VLOOKUP(E105,'[2]Peajes (1)'!$A:$D,4,0)</f>
        <v>3802</v>
      </c>
      <c r="C105" s="3" t="s">
        <v>112</v>
      </c>
      <c r="D105" s="3" t="s">
        <v>113</v>
      </c>
      <c r="E105" s="3" t="s">
        <v>118</v>
      </c>
      <c r="F105" s="4">
        <v>2592663650</v>
      </c>
      <c r="G105" s="4">
        <v>1918354350</v>
      </c>
      <c r="H105" s="4">
        <v>1983401900</v>
      </c>
      <c r="I105" s="4">
        <v>2223393000</v>
      </c>
      <c r="J105" s="4">
        <v>2082429550</v>
      </c>
      <c r="K105" s="4">
        <v>2210199400</v>
      </c>
      <c r="L105" s="4">
        <v>2372650250</v>
      </c>
      <c r="M105" s="4">
        <v>2123221350</v>
      </c>
      <c r="N105" s="4">
        <v>2043849400</v>
      </c>
      <c r="O105" s="4">
        <v>2230486700</v>
      </c>
      <c r="P105" s="4">
        <v>2083206700</v>
      </c>
      <c r="Q105" s="4">
        <v>2229706300</v>
      </c>
      <c r="R105" s="4">
        <v>2553257800</v>
      </c>
      <c r="S105" s="4">
        <v>2152953800</v>
      </c>
      <c r="T105" s="4">
        <v>2283116500</v>
      </c>
      <c r="U105" s="4">
        <v>2302011200</v>
      </c>
      <c r="V105" s="4">
        <v>2273962150</v>
      </c>
      <c r="W105" s="4">
        <v>2231195050</v>
      </c>
      <c r="X105" s="4">
        <v>2477161150</v>
      </c>
      <c r="Y105" s="4">
        <v>2388343750</v>
      </c>
      <c r="Z105" s="4">
        <v>2376125750</v>
      </c>
      <c r="AA105" s="4">
        <v>2611385800</v>
      </c>
      <c r="AB105" s="4">
        <v>2517949250</v>
      </c>
      <c r="AC105" s="4">
        <v>2714388450</v>
      </c>
      <c r="AD105" s="4">
        <v>3101212200</v>
      </c>
      <c r="AE105" s="4">
        <v>2462828900</v>
      </c>
      <c r="AF105" s="4">
        <v>2737804300</v>
      </c>
      <c r="AG105" s="4">
        <v>2577868900</v>
      </c>
      <c r="AH105" s="4">
        <v>2471688000</v>
      </c>
      <c r="AI105" s="4">
        <v>2435611300</v>
      </c>
      <c r="AJ105" s="4">
        <v>2204545900</v>
      </c>
      <c r="AK105" s="4">
        <v>2648774000</v>
      </c>
      <c r="AL105" s="4">
        <v>2505795000</v>
      </c>
      <c r="AM105" s="4">
        <v>2621567700</v>
      </c>
      <c r="AN105" s="4">
        <v>2605483800</v>
      </c>
      <c r="AO105" s="4">
        <v>2903656000</v>
      </c>
      <c r="AP105" s="4">
        <v>3301071900</v>
      </c>
      <c r="AQ105" s="4">
        <v>2485962900</v>
      </c>
      <c r="AR105" s="4">
        <v>2689830600</v>
      </c>
      <c r="AS105" s="4">
        <v>2809776300</v>
      </c>
      <c r="AT105" s="4">
        <v>2662849400</v>
      </c>
      <c r="AU105" s="4">
        <v>2750311900</v>
      </c>
      <c r="AV105" s="4">
        <v>2719216800</v>
      </c>
      <c r="AW105" s="4">
        <v>2738032800</v>
      </c>
      <c r="AX105" s="4">
        <v>2706372700</v>
      </c>
      <c r="AY105" s="4">
        <v>1899992800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</row>
    <row r="106" spans="1:65" x14ac:dyDescent="0.25">
      <c r="A106" s="1">
        <v>107</v>
      </c>
      <c r="B106" s="1">
        <f>VLOOKUP(E106,'[2]Peajes (1)'!$A:$D,4,0)</f>
        <v>3824</v>
      </c>
      <c r="C106" s="3" t="s">
        <v>166</v>
      </c>
      <c r="D106" s="3" t="s">
        <v>167</v>
      </c>
      <c r="E106" s="3" t="s">
        <v>168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1773989500</v>
      </c>
      <c r="AK106" s="4">
        <v>1684191400</v>
      </c>
      <c r="AL106" s="4">
        <v>1566355200</v>
      </c>
      <c r="AM106" s="4">
        <v>1801628300</v>
      </c>
      <c r="AN106" s="4">
        <v>1639931100</v>
      </c>
      <c r="AO106" s="4">
        <v>1751298372</v>
      </c>
      <c r="AP106" s="4">
        <v>2292398450</v>
      </c>
      <c r="AQ106" s="4">
        <v>1595590300</v>
      </c>
      <c r="AR106" s="4">
        <v>1752745500</v>
      </c>
      <c r="AS106" s="4">
        <v>1831072700</v>
      </c>
      <c r="AT106" s="4">
        <v>1742241300</v>
      </c>
      <c r="AU106" s="4">
        <v>1828865600</v>
      </c>
      <c r="AV106" s="4">
        <v>2007886900</v>
      </c>
      <c r="AW106" s="4">
        <v>1811144400</v>
      </c>
      <c r="AX106" s="4">
        <v>1669604500</v>
      </c>
      <c r="AY106" s="4">
        <v>1933224000</v>
      </c>
      <c r="AZ106" s="4">
        <v>1918124700</v>
      </c>
      <c r="BA106" s="4">
        <v>2248674700</v>
      </c>
      <c r="BB106" s="4">
        <v>2069127800</v>
      </c>
      <c r="BC106" s="4">
        <v>1665738300</v>
      </c>
      <c r="BD106" s="4">
        <v>2003782700</v>
      </c>
      <c r="BE106" s="4">
        <v>1830973500</v>
      </c>
      <c r="BF106" s="4">
        <v>2035593900</v>
      </c>
      <c r="BG106" s="4">
        <v>2574916900</v>
      </c>
      <c r="BH106" s="4">
        <v>2274093700</v>
      </c>
      <c r="BI106" s="4">
        <v>1919259700</v>
      </c>
      <c r="BJ106" s="4">
        <v>1902985700</v>
      </c>
      <c r="BK106" s="4">
        <v>2058098800</v>
      </c>
      <c r="BL106" s="4">
        <v>2002961500</v>
      </c>
      <c r="BM106" s="4">
        <v>2386973300</v>
      </c>
    </row>
    <row r="107" spans="1:65" x14ac:dyDescent="0.25">
      <c r="A107" s="1">
        <v>15</v>
      </c>
      <c r="B107" s="1">
        <f>VLOOKUP(E107,'[2]Peajes (1)'!$A:$D,4,0)</f>
        <v>3855</v>
      </c>
      <c r="C107" s="3" t="s">
        <v>21</v>
      </c>
      <c r="D107" s="3" t="s">
        <v>22</v>
      </c>
      <c r="E107" s="3" t="s">
        <v>24</v>
      </c>
      <c r="F107" s="4">
        <v>253995100</v>
      </c>
      <c r="G107" s="4">
        <v>286721600</v>
      </c>
      <c r="H107" s="4">
        <v>287865800</v>
      </c>
      <c r="I107" s="4">
        <v>242131000</v>
      </c>
      <c r="J107" s="4">
        <v>269006300</v>
      </c>
      <c r="K107" s="4">
        <v>197869400</v>
      </c>
      <c r="L107" s="4">
        <v>226344400</v>
      </c>
      <c r="M107" s="4">
        <v>182606000</v>
      </c>
      <c r="N107" s="4">
        <v>221300000</v>
      </c>
      <c r="O107" s="4">
        <v>234090700</v>
      </c>
      <c r="P107" s="4">
        <v>224866800</v>
      </c>
      <c r="Q107" s="4">
        <v>238936200</v>
      </c>
      <c r="R107" s="4">
        <v>252455800</v>
      </c>
      <c r="S107" s="4">
        <v>235380000</v>
      </c>
      <c r="T107" s="4">
        <v>219950800</v>
      </c>
      <c r="U107" s="4">
        <v>202342500</v>
      </c>
      <c r="V107" s="4">
        <v>242830600</v>
      </c>
      <c r="W107" s="4">
        <v>211088300</v>
      </c>
      <c r="X107" s="4">
        <v>224663100</v>
      </c>
      <c r="Y107" s="4">
        <v>257781500</v>
      </c>
      <c r="Z107" s="4">
        <v>249477300</v>
      </c>
      <c r="AA107" s="4">
        <v>228596000</v>
      </c>
      <c r="AB107" s="4">
        <v>216901400</v>
      </c>
      <c r="AC107" s="4">
        <v>229796700</v>
      </c>
      <c r="AD107" s="4">
        <v>254689200</v>
      </c>
      <c r="AE107" s="4">
        <v>292430000</v>
      </c>
      <c r="AF107" s="4">
        <v>296898700</v>
      </c>
      <c r="AG107" s="4">
        <v>342115100</v>
      </c>
      <c r="AH107" s="4">
        <v>325282100</v>
      </c>
      <c r="AI107" s="4">
        <v>290663500</v>
      </c>
      <c r="AJ107" s="4">
        <v>240833600</v>
      </c>
      <c r="AK107" s="4">
        <v>289476500</v>
      </c>
      <c r="AL107" s="4">
        <v>320099800</v>
      </c>
      <c r="AM107" s="4">
        <v>266292800</v>
      </c>
      <c r="AN107" s="4">
        <v>218826300</v>
      </c>
      <c r="AO107" s="4">
        <v>215590600</v>
      </c>
      <c r="AP107" s="4">
        <v>241938300</v>
      </c>
      <c r="AQ107" s="4">
        <v>215865000</v>
      </c>
      <c r="AR107" s="4">
        <v>302737300</v>
      </c>
      <c r="AS107" s="4">
        <v>257696900</v>
      </c>
      <c r="AT107" s="4">
        <v>273345500</v>
      </c>
      <c r="AU107" s="4">
        <v>254907900</v>
      </c>
      <c r="AV107" s="4">
        <v>219897100</v>
      </c>
      <c r="AW107" s="4">
        <v>225192700</v>
      </c>
      <c r="AX107" s="4">
        <v>285399100</v>
      </c>
      <c r="AY107" s="4">
        <v>315842600</v>
      </c>
      <c r="AZ107" s="4">
        <v>334689800</v>
      </c>
      <c r="BA107" s="4">
        <v>297512300</v>
      </c>
      <c r="BB107" s="4">
        <v>281343700</v>
      </c>
      <c r="BC107" s="4">
        <v>284232500</v>
      </c>
      <c r="BD107" s="4">
        <v>349278600</v>
      </c>
      <c r="BE107" s="4">
        <v>512236200</v>
      </c>
      <c r="BF107" s="4">
        <v>546659200</v>
      </c>
      <c r="BG107" s="4">
        <v>414212000</v>
      </c>
      <c r="BH107" s="4">
        <v>462603000</v>
      </c>
      <c r="BI107" s="4">
        <v>517189500</v>
      </c>
      <c r="BJ107" s="4">
        <v>450919200</v>
      </c>
      <c r="BK107" s="4">
        <v>482776500</v>
      </c>
      <c r="BL107" s="4">
        <v>452290800</v>
      </c>
      <c r="BM107" s="4">
        <v>403928100</v>
      </c>
    </row>
    <row r="108" spans="1:65" x14ac:dyDescent="0.25">
      <c r="A108" s="1">
        <v>37</v>
      </c>
      <c r="B108" s="1">
        <f>VLOOKUP(E108,'[2]Peajes (1)'!$A:$D,4,0)</f>
        <v>3963</v>
      </c>
      <c r="C108" s="3" t="s">
        <v>53</v>
      </c>
      <c r="D108" s="3" t="s">
        <v>54</v>
      </c>
      <c r="E108" s="3" t="s">
        <v>58</v>
      </c>
      <c r="F108" s="4">
        <v>742291700</v>
      </c>
      <c r="G108" s="4">
        <v>491141100</v>
      </c>
      <c r="H108" s="4">
        <v>478576600</v>
      </c>
      <c r="I108" s="4">
        <v>546814400</v>
      </c>
      <c r="J108" s="4">
        <v>464311400</v>
      </c>
      <c r="K108" s="4">
        <v>492106900</v>
      </c>
      <c r="L108" s="4">
        <v>550165700</v>
      </c>
      <c r="M108" s="4">
        <v>523630200</v>
      </c>
      <c r="N108" s="4">
        <v>512144800</v>
      </c>
      <c r="O108" s="4">
        <v>585851800</v>
      </c>
      <c r="P108" s="4">
        <v>621927500</v>
      </c>
      <c r="Q108" s="4">
        <v>658549200</v>
      </c>
      <c r="R108" s="4">
        <v>558706700</v>
      </c>
      <c r="S108" s="4">
        <v>499204100</v>
      </c>
      <c r="T108" s="4">
        <v>550782700</v>
      </c>
      <c r="U108" s="4">
        <v>519961000</v>
      </c>
      <c r="V108" s="4">
        <v>556566200</v>
      </c>
      <c r="W108" s="4">
        <v>559566400</v>
      </c>
      <c r="X108" s="4">
        <v>608855800</v>
      </c>
      <c r="Y108" s="4">
        <v>526403800</v>
      </c>
      <c r="Z108" s="4">
        <v>219198100</v>
      </c>
      <c r="AA108" s="4">
        <v>156341400</v>
      </c>
      <c r="AB108" s="4">
        <v>161887700</v>
      </c>
      <c r="AC108" s="4">
        <v>206801400</v>
      </c>
      <c r="AD108" s="4">
        <v>186677300</v>
      </c>
      <c r="AE108" s="4">
        <v>190979600</v>
      </c>
      <c r="AF108" s="4">
        <v>223190100</v>
      </c>
      <c r="AG108" s="4">
        <v>216528000</v>
      </c>
      <c r="AH108" s="4">
        <v>231410200</v>
      </c>
      <c r="AI108" s="4">
        <v>231314700</v>
      </c>
      <c r="AJ108" s="4">
        <v>291797000</v>
      </c>
      <c r="AK108" s="4">
        <v>321863000</v>
      </c>
      <c r="AL108" s="4">
        <v>354995400</v>
      </c>
      <c r="AM108" s="4">
        <v>398752800</v>
      </c>
      <c r="AN108" s="4">
        <v>412637000</v>
      </c>
      <c r="AO108" s="4">
        <v>451896000</v>
      </c>
      <c r="AP108" s="4">
        <v>459007000</v>
      </c>
      <c r="AQ108" s="4">
        <v>431943900</v>
      </c>
      <c r="AR108" s="4">
        <v>454939800</v>
      </c>
      <c r="AS108" s="4">
        <v>427687100</v>
      </c>
      <c r="AT108" s="4">
        <v>438019300</v>
      </c>
      <c r="AU108" s="4">
        <v>447881800</v>
      </c>
      <c r="AV108" s="4">
        <v>545389400</v>
      </c>
      <c r="AW108" s="4">
        <v>613512600</v>
      </c>
      <c r="AX108" s="4">
        <v>564302600</v>
      </c>
      <c r="AY108" s="4">
        <v>621009800</v>
      </c>
      <c r="AZ108" s="4">
        <v>592278500</v>
      </c>
      <c r="BA108" s="4">
        <v>724315300</v>
      </c>
      <c r="BB108" s="4">
        <v>642321300</v>
      </c>
      <c r="BC108" s="4">
        <v>499952000</v>
      </c>
      <c r="BD108" s="4">
        <v>440557400</v>
      </c>
      <c r="BE108" s="4">
        <v>457249300</v>
      </c>
      <c r="BF108" s="4">
        <v>418981000</v>
      </c>
      <c r="BG108" s="4">
        <v>401325600</v>
      </c>
      <c r="BH108" s="4">
        <v>481556200</v>
      </c>
      <c r="BI108" s="4">
        <v>471584600</v>
      </c>
      <c r="BJ108" s="4">
        <v>482367500</v>
      </c>
      <c r="BK108" s="4">
        <v>508015500</v>
      </c>
      <c r="BL108" s="4">
        <v>510857900</v>
      </c>
      <c r="BM108" s="4">
        <v>697267200</v>
      </c>
    </row>
    <row r="109" spans="1:65" x14ac:dyDescent="0.25">
      <c r="A109" s="1">
        <v>73</v>
      </c>
      <c r="B109" s="1">
        <f>VLOOKUP(E109,'[2]Peajes (1)'!$A:$D,4,0)</f>
        <v>4000</v>
      </c>
      <c r="C109" s="3" t="s">
        <v>100</v>
      </c>
      <c r="D109" s="3" t="s">
        <v>101</v>
      </c>
      <c r="E109" s="3" t="s">
        <v>105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1597531800</v>
      </c>
      <c r="AS109" s="4">
        <v>1646356650</v>
      </c>
      <c r="AT109" s="4">
        <v>1633709400</v>
      </c>
      <c r="AU109" s="4">
        <v>1670252400</v>
      </c>
      <c r="AV109" s="4">
        <v>1671451500</v>
      </c>
      <c r="AW109" s="4">
        <v>1632249100</v>
      </c>
      <c r="AX109" s="4">
        <v>1573254500</v>
      </c>
      <c r="AY109" s="4">
        <v>1599610900</v>
      </c>
      <c r="AZ109" s="4">
        <v>1597813300</v>
      </c>
      <c r="BA109" s="4">
        <v>1680567900</v>
      </c>
      <c r="BB109" s="4">
        <v>1736356900</v>
      </c>
      <c r="BC109" s="4">
        <v>1518775300</v>
      </c>
      <c r="BD109" s="4">
        <v>1705616600</v>
      </c>
      <c r="BE109" s="4">
        <v>1649429900</v>
      </c>
      <c r="BF109" s="4">
        <v>1583409800</v>
      </c>
      <c r="BG109" s="4">
        <v>1577777200</v>
      </c>
      <c r="BH109" s="4">
        <v>1641510400</v>
      </c>
      <c r="BI109" s="4">
        <v>1712304200</v>
      </c>
      <c r="BJ109" s="4">
        <v>1642926600</v>
      </c>
      <c r="BK109" s="4">
        <v>1721432400</v>
      </c>
      <c r="BL109" s="4">
        <v>1662502100</v>
      </c>
      <c r="BM109" s="4">
        <v>1746644900</v>
      </c>
    </row>
    <row r="110" spans="1:65" x14ac:dyDescent="0.25">
      <c r="A110" s="1">
        <v>43</v>
      </c>
      <c r="B110" s="1">
        <f>VLOOKUP(E110,'[2]Peajes (1)'!$A:$D,4,0)</f>
        <v>5205</v>
      </c>
      <c r="C110" s="3" t="s">
        <v>59</v>
      </c>
      <c r="D110" s="3" t="s">
        <v>60</v>
      </c>
      <c r="E110" s="3" t="s">
        <v>66</v>
      </c>
      <c r="F110" s="4">
        <v>267986100</v>
      </c>
      <c r="G110" s="4">
        <v>233154200</v>
      </c>
      <c r="H110" s="4">
        <v>255262200</v>
      </c>
      <c r="I110" s="4">
        <v>245427800</v>
      </c>
      <c r="J110" s="4">
        <v>318688200</v>
      </c>
      <c r="K110" s="4">
        <v>255848000</v>
      </c>
      <c r="L110" s="4">
        <v>266170100</v>
      </c>
      <c r="M110" s="4">
        <v>236612200</v>
      </c>
      <c r="N110" s="4">
        <v>304219800</v>
      </c>
      <c r="O110" s="4">
        <v>273029300</v>
      </c>
      <c r="P110" s="4">
        <v>247540100</v>
      </c>
      <c r="Q110" s="4">
        <v>298628000</v>
      </c>
      <c r="R110" s="4">
        <v>289410800</v>
      </c>
      <c r="S110" s="4">
        <v>257389200</v>
      </c>
      <c r="T110" s="4">
        <v>332344400</v>
      </c>
      <c r="U110" s="4">
        <v>254452300</v>
      </c>
      <c r="V110" s="4">
        <v>296351100</v>
      </c>
      <c r="W110" s="4">
        <v>302583300</v>
      </c>
      <c r="X110" s="4">
        <v>342547100</v>
      </c>
      <c r="Y110" s="4">
        <v>268607400</v>
      </c>
      <c r="Z110" s="4">
        <v>327261000</v>
      </c>
      <c r="AA110" s="4">
        <v>334569000</v>
      </c>
      <c r="AB110" s="4">
        <v>372671900</v>
      </c>
      <c r="AC110" s="4">
        <v>397855100</v>
      </c>
      <c r="AD110" s="4">
        <v>314369500</v>
      </c>
      <c r="AE110" s="4">
        <v>313712000</v>
      </c>
      <c r="AF110" s="4">
        <v>338816400</v>
      </c>
      <c r="AG110" s="4">
        <v>315438000</v>
      </c>
      <c r="AH110" s="4">
        <v>355823300</v>
      </c>
      <c r="AI110" s="4">
        <v>348573200</v>
      </c>
      <c r="AJ110" s="4">
        <v>426460800</v>
      </c>
      <c r="AK110" s="4">
        <v>366722200</v>
      </c>
      <c r="AL110" s="4">
        <v>388232600</v>
      </c>
      <c r="AM110" s="4">
        <v>397802500</v>
      </c>
      <c r="AN110" s="4">
        <v>360679700</v>
      </c>
      <c r="AO110" s="4">
        <v>427903100</v>
      </c>
      <c r="AP110" s="4">
        <v>382332900</v>
      </c>
      <c r="AQ110" s="4">
        <v>378850600</v>
      </c>
      <c r="AR110" s="4">
        <v>389335100</v>
      </c>
      <c r="AS110" s="4">
        <v>388622300</v>
      </c>
      <c r="AT110" s="4">
        <v>390505000</v>
      </c>
      <c r="AU110" s="4">
        <v>399887000</v>
      </c>
      <c r="AV110" s="4">
        <v>457830300</v>
      </c>
      <c r="AW110" s="4">
        <v>398408600</v>
      </c>
      <c r="AX110" s="4">
        <v>405826200</v>
      </c>
      <c r="AY110" s="4">
        <v>452592600</v>
      </c>
      <c r="AZ110" s="4">
        <v>444984100</v>
      </c>
      <c r="BA110" s="4">
        <v>494689100</v>
      </c>
      <c r="BB110" s="4">
        <v>465461300</v>
      </c>
      <c r="BC110" s="4">
        <v>462022300</v>
      </c>
      <c r="BD110" s="4">
        <v>499995200</v>
      </c>
      <c r="BE110" s="4">
        <v>551514600</v>
      </c>
      <c r="BF110" s="4">
        <v>470090200</v>
      </c>
      <c r="BG110" s="4">
        <v>473722600</v>
      </c>
      <c r="BH110" s="4">
        <v>468112600</v>
      </c>
      <c r="BI110" s="4">
        <v>481942000</v>
      </c>
      <c r="BJ110" s="4">
        <v>450834500</v>
      </c>
      <c r="BK110" s="4">
        <v>494548200</v>
      </c>
      <c r="BL110" s="4">
        <v>0</v>
      </c>
      <c r="BM110" s="4">
        <v>0</v>
      </c>
    </row>
    <row r="111" spans="1:65" x14ac:dyDescent="0.25">
      <c r="A111" s="1">
        <v>142</v>
      </c>
      <c r="B111" s="1">
        <f>VLOOKUP(E111,'[2]Peajes (1)'!$A:$D,4,0)</f>
        <v>3851</v>
      </c>
      <c r="C111" s="3" t="s">
        <v>208</v>
      </c>
      <c r="D111" s="3" t="s">
        <v>209</v>
      </c>
      <c r="E111" s="3" t="s">
        <v>243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428323100</v>
      </c>
      <c r="R111" s="4">
        <v>1003810350</v>
      </c>
      <c r="S111" s="4">
        <v>959533450</v>
      </c>
      <c r="T111" s="4">
        <v>1069226300</v>
      </c>
      <c r="U111" s="4">
        <v>977353000</v>
      </c>
      <c r="V111" s="4">
        <v>1105872400</v>
      </c>
      <c r="W111" s="4">
        <v>999603500</v>
      </c>
      <c r="X111" s="4">
        <v>999093050</v>
      </c>
      <c r="Y111" s="4">
        <v>1073393250</v>
      </c>
      <c r="Z111" s="4">
        <v>1028670000</v>
      </c>
      <c r="AA111" s="4">
        <v>1074307600</v>
      </c>
      <c r="AB111" s="4">
        <v>1055776850</v>
      </c>
      <c r="AC111" s="4">
        <v>1138117500</v>
      </c>
      <c r="AD111" s="4">
        <v>1078544650</v>
      </c>
      <c r="AE111" s="4">
        <v>1060150050</v>
      </c>
      <c r="AF111" s="4">
        <v>1116714250</v>
      </c>
      <c r="AG111" s="4">
        <v>1113595050</v>
      </c>
      <c r="AH111" s="4">
        <v>1180269100</v>
      </c>
      <c r="AI111" s="4">
        <v>1135001900</v>
      </c>
      <c r="AJ111" s="4">
        <v>1124097800</v>
      </c>
      <c r="AK111" s="4">
        <v>1129424650</v>
      </c>
      <c r="AL111" s="4">
        <v>1121783050</v>
      </c>
      <c r="AM111" s="4">
        <v>1137202600</v>
      </c>
      <c r="AN111" s="4">
        <v>1098610300</v>
      </c>
      <c r="AO111" s="4">
        <v>1201833100</v>
      </c>
      <c r="AP111" s="4">
        <v>1122184350</v>
      </c>
      <c r="AQ111" s="4">
        <v>1097254950</v>
      </c>
      <c r="AR111" s="4">
        <v>1185279300</v>
      </c>
      <c r="AS111" s="4">
        <v>1147680950</v>
      </c>
      <c r="AT111" s="4">
        <v>1190679350</v>
      </c>
      <c r="AU111" s="4">
        <v>1120332450</v>
      </c>
      <c r="AV111" s="4">
        <v>1099673050</v>
      </c>
      <c r="AW111" s="4">
        <v>1144741000</v>
      </c>
      <c r="AX111" s="4">
        <v>1085334450</v>
      </c>
      <c r="AY111" s="4">
        <v>1078632350</v>
      </c>
      <c r="AZ111" s="4">
        <v>1074176250</v>
      </c>
      <c r="BA111" s="4">
        <v>1170612500</v>
      </c>
      <c r="BB111" s="4">
        <v>1086753000</v>
      </c>
      <c r="BC111" s="4">
        <v>1053416100</v>
      </c>
      <c r="BD111" s="4">
        <v>1186997350</v>
      </c>
      <c r="BE111" s="4">
        <v>1114683050</v>
      </c>
      <c r="BF111" s="4">
        <v>1144455700</v>
      </c>
      <c r="BG111" s="4">
        <v>1073172750</v>
      </c>
      <c r="BH111" s="4">
        <v>938544300</v>
      </c>
      <c r="BI111" s="4">
        <v>1014979900</v>
      </c>
      <c r="BJ111" s="4">
        <v>1016188650</v>
      </c>
      <c r="BK111" s="4">
        <v>1052101550</v>
      </c>
      <c r="BL111" s="4">
        <v>1099381250</v>
      </c>
      <c r="BM111" s="4">
        <v>1267051700</v>
      </c>
    </row>
    <row r="112" spans="1:65" x14ac:dyDescent="0.25">
      <c r="A112" s="1">
        <v>3</v>
      </c>
      <c r="B112" s="1">
        <f>VLOOKUP(E112,'[2]Peajes (1)'!$A:$D,4,0)</f>
        <v>3957</v>
      </c>
      <c r="C112" s="3" t="s">
        <v>4</v>
      </c>
      <c r="D112" s="3" t="s">
        <v>5</v>
      </c>
      <c r="E112" s="3" t="s">
        <v>244</v>
      </c>
      <c r="F112" s="4">
        <v>1078434800</v>
      </c>
      <c r="G112" s="4">
        <v>1005655600</v>
      </c>
      <c r="H112" s="4">
        <v>1114699800</v>
      </c>
      <c r="I112" s="4">
        <v>983377600</v>
      </c>
      <c r="J112" s="4">
        <v>914140000</v>
      </c>
      <c r="K112" s="4">
        <v>888155100</v>
      </c>
      <c r="L112" s="4">
        <v>976374700</v>
      </c>
      <c r="M112" s="4">
        <v>987212500</v>
      </c>
      <c r="N112" s="4">
        <v>927094400</v>
      </c>
      <c r="O112" s="4">
        <v>984906300</v>
      </c>
      <c r="P112" s="4">
        <v>951363300</v>
      </c>
      <c r="Q112" s="4">
        <v>1094327200</v>
      </c>
      <c r="R112" s="4">
        <v>1154335500</v>
      </c>
      <c r="S112" s="4">
        <v>951407900</v>
      </c>
      <c r="T112" s="4">
        <v>956737700</v>
      </c>
      <c r="U112" s="4">
        <v>1048220400</v>
      </c>
      <c r="V112" s="4">
        <v>1220957400</v>
      </c>
      <c r="W112" s="4">
        <v>1197443250</v>
      </c>
      <c r="X112" s="4">
        <v>1145059600</v>
      </c>
      <c r="Y112" s="4">
        <v>1013091100</v>
      </c>
      <c r="Z112" s="4">
        <v>952059700</v>
      </c>
      <c r="AA112" s="4">
        <v>1026703400</v>
      </c>
      <c r="AB112" s="4">
        <v>985090200</v>
      </c>
      <c r="AC112" s="4">
        <v>1186135900</v>
      </c>
      <c r="AD112" s="4">
        <v>1263045800</v>
      </c>
      <c r="AE112" s="4">
        <v>927129900</v>
      </c>
      <c r="AF112" s="4">
        <v>1058280400</v>
      </c>
      <c r="AG112" s="4">
        <v>938313300</v>
      </c>
      <c r="AH112" s="4">
        <v>995875200</v>
      </c>
      <c r="AI112" s="4">
        <v>975504900</v>
      </c>
      <c r="AJ112" s="4">
        <v>1056001800</v>
      </c>
      <c r="AK112" s="4">
        <v>1077139200</v>
      </c>
      <c r="AL112" s="4">
        <v>1012797300</v>
      </c>
      <c r="AM112" s="4">
        <v>1126734400</v>
      </c>
      <c r="AN112" s="4">
        <v>1077655300</v>
      </c>
      <c r="AO112" s="4">
        <v>1237888500</v>
      </c>
      <c r="AP112" s="4">
        <v>1385248700</v>
      </c>
      <c r="AQ112" s="4">
        <v>995191400</v>
      </c>
      <c r="AR112" s="4">
        <v>1109603500</v>
      </c>
      <c r="AS112" s="4">
        <v>1159020000</v>
      </c>
      <c r="AT112" s="4">
        <v>1412587450</v>
      </c>
      <c r="AU112" s="4">
        <v>1167218200</v>
      </c>
      <c r="AV112" s="4">
        <v>1212620300</v>
      </c>
      <c r="AW112" s="4">
        <v>1221717800</v>
      </c>
      <c r="AX112" s="4">
        <v>1136001800</v>
      </c>
      <c r="AY112" s="4">
        <v>1246243300</v>
      </c>
      <c r="AZ112" s="4">
        <v>1376032200</v>
      </c>
      <c r="BA112" s="4">
        <v>1436268750</v>
      </c>
      <c r="BB112" s="4">
        <v>1575622400</v>
      </c>
      <c r="BC112" s="4">
        <v>1245886900</v>
      </c>
      <c r="BD112" s="4">
        <v>1380586900</v>
      </c>
      <c r="BE112" s="4">
        <v>1249898200</v>
      </c>
      <c r="BF112" s="4">
        <v>1309048100</v>
      </c>
      <c r="BG112" s="4">
        <v>1100823200</v>
      </c>
      <c r="BH112" s="4">
        <v>1376492200</v>
      </c>
      <c r="BI112" s="4">
        <v>1355024700</v>
      </c>
      <c r="BJ112" s="4">
        <v>1209368600</v>
      </c>
      <c r="BK112" s="4">
        <v>1316777650</v>
      </c>
      <c r="BL112" s="4">
        <v>1266961800</v>
      </c>
      <c r="BM112" s="4">
        <v>1449756600</v>
      </c>
    </row>
    <row r="113" spans="1:65" x14ac:dyDescent="0.25">
      <c r="A113" s="1">
        <v>13</v>
      </c>
      <c r="B113" s="1">
        <f>VLOOKUP(E113,'[2]Peajes (1)'!$A:$D,4,0)</f>
        <v>3885</v>
      </c>
      <c r="C113" s="3" t="s">
        <v>17</v>
      </c>
      <c r="D113" s="3" t="s">
        <v>18</v>
      </c>
      <c r="E113" s="3" t="s">
        <v>20</v>
      </c>
      <c r="F113" s="4">
        <v>7073246000</v>
      </c>
      <c r="G113" s="4">
        <v>5391308000</v>
      </c>
      <c r="H113" s="4">
        <v>6597354400</v>
      </c>
      <c r="I113" s="4">
        <v>7093294600</v>
      </c>
      <c r="J113" s="4">
        <v>6743925400</v>
      </c>
      <c r="K113" s="4">
        <v>6738791200</v>
      </c>
      <c r="L113" s="4">
        <v>6822294600</v>
      </c>
      <c r="M113" s="4">
        <v>6888588900</v>
      </c>
      <c r="N113" s="4">
        <v>6200564200</v>
      </c>
      <c r="O113" s="4">
        <v>6743103900</v>
      </c>
      <c r="P113" s="4">
        <v>6359337100</v>
      </c>
      <c r="Q113" s="4">
        <v>7497444800</v>
      </c>
      <c r="R113" s="4">
        <v>7254204800</v>
      </c>
      <c r="S113" s="4">
        <v>5620985000</v>
      </c>
      <c r="T113" s="4">
        <v>6282932900</v>
      </c>
      <c r="U113" s="4">
        <v>6416368500</v>
      </c>
      <c r="V113" s="4">
        <v>6550354500</v>
      </c>
      <c r="W113" s="4">
        <v>7182560900</v>
      </c>
      <c r="X113" s="4">
        <v>8022308800</v>
      </c>
      <c r="Y113" s="4">
        <v>7843712100</v>
      </c>
      <c r="Z113" s="4">
        <v>7432801700</v>
      </c>
      <c r="AA113" s="4">
        <v>7965272600</v>
      </c>
      <c r="AB113" s="4">
        <v>7559951700</v>
      </c>
      <c r="AC113" s="4">
        <v>8714609400</v>
      </c>
      <c r="AD113" s="4">
        <v>8372611900</v>
      </c>
      <c r="AE113" s="4">
        <v>6619738600</v>
      </c>
      <c r="AF113" s="4">
        <v>7234529200</v>
      </c>
      <c r="AG113" s="4">
        <v>6196049300</v>
      </c>
      <c r="AH113" s="4">
        <v>6285601600</v>
      </c>
      <c r="AI113" s="4">
        <v>6273832600</v>
      </c>
      <c r="AJ113" s="4">
        <v>6118412800</v>
      </c>
      <c r="AK113" s="4">
        <v>6586463900</v>
      </c>
      <c r="AL113" s="4">
        <v>6369893100</v>
      </c>
      <c r="AM113" s="4">
        <v>6809738000</v>
      </c>
      <c r="AN113" s="4">
        <v>6670045700</v>
      </c>
      <c r="AO113" s="4">
        <v>7830049400</v>
      </c>
      <c r="AP113" s="4">
        <v>7947097400</v>
      </c>
      <c r="AQ113" s="4">
        <v>6027843200</v>
      </c>
      <c r="AR113" s="4">
        <v>7043825700</v>
      </c>
      <c r="AS113" s="4">
        <v>7222426400</v>
      </c>
      <c r="AT113" s="4">
        <v>6622541700</v>
      </c>
      <c r="AU113" s="4">
        <v>6590708400</v>
      </c>
      <c r="AV113" s="4">
        <v>6757223900</v>
      </c>
      <c r="AW113" s="4">
        <v>7236455600</v>
      </c>
      <c r="AX113" s="4">
        <v>6674712800</v>
      </c>
      <c r="AY113" s="4">
        <v>7266656300</v>
      </c>
      <c r="AZ113" s="4">
        <v>7073070600</v>
      </c>
      <c r="BA113" s="4">
        <v>8502040800</v>
      </c>
      <c r="BB113" s="4">
        <v>8434691000</v>
      </c>
      <c r="BC113" s="4">
        <v>5799501200</v>
      </c>
      <c r="BD113" s="4">
        <v>7417723200</v>
      </c>
      <c r="BE113" s="4">
        <v>6778766000</v>
      </c>
      <c r="BF113" s="4">
        <v>6459047100</v>
      </c>
      <c r="BG113" s="4">
        <v>6855322900</v>
      </c>
      <c r="BH113" s="4">
        <v>6813163200</v>
      </c>
      <c r="BI113" s="4">
        <v>5837177400</v>
      </c>
      <c r="BJ113" s="4">
        <v>6116060100</v>
      </c>
      <c r="BK113" s="4">
        <v>7444170500</v>
      </c>
      <c r="BL113" s="4">
        <v>7421157900</v>
      </c>
      <c r="BM113" s="4">
        <v>8611663500</v>
      </c>
    </row>
    <row r="114" spans="1:65" x14ac:dyDescent="0.25">
      <c r="A114" s="1">
        <v>83</v>
      </c>
      <c r="B114" s="1">
        <f>VLOOKUP(E114,'[2]Peajes (1)'!$A:$D,4,0)</f>
        <v>3915</v>
      </c>
      <c r="C114" s="3" t="s">
        <v>112</v>
      </c>
      <c r="D114" s="3" t="s">
        <v>113</v>
      </c>
      <c r="E114" s="3" t="s">
        <v>119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281973200</v>
      </c>
      <c r="V114" s="4">
        <v>549553300</v>
      </c>
      <c r="W114" s="4">
        <v>547348700</v>
      </c>
      <c r="X114" s="4">
        <v>563218800</v>
      </c>
      <c r="Y114" s="4">
        <v>570479100</v>
      </c>
      <c r="Z114" s="4">
        <v>551405900</v>
      </c>
      <c r="AA114" s="4">
        <v>571466900</v>
      </c>
      <c r="AB114" s="4">
        <v>588749900</v>
      </c>
      <c r="AC114" s="4">
        <v>641844200</v>
      </c>
      <c r="AD114" s="4">
        <v>666300900</v>
      </c>
      <c r="AE114" s="4">
        <v>545371400</v>
      </c>
      <c r="AF114" s="4">
        <v>633657100</v>
      </c>
      <c r="AG114" s="4">
        <v>659543500</v>
      </c>
      <c r="AH114" s="4">
        <v>620052500</v>
      </c>
      <c r="AI114" s="4">
        <v>606806600</v>
      </c>
      <c r="AJ114" s="4">
        <v>534863200</v>
      </c>
      <c r="AK114" s="4">
        <v>674910100</v>
      </c>
      <c r="AL114" s="4">
        <v>592488500</v>
      </c>
      <c r="AM114" s="4">
        <v>661010800</v>
      </c>
      <c r="AN114" s="4">
        <v>651560900</v>
      </c>
      <c r="AO114" s="4">
        <v>691538300</v>
      </c>
      <c r="AP114" s="4">
        <v>696016500</v>
      </c>
      <c r="AQ114" s="4">
        <v>571775600</v>
      </c>
      <c r="AR114" s="4">
        <v>600920400</v>
      </c>
      <c r="AS114" s="4">
        <v>634047300</v>
      </c>
      <c r="AT114" s="4">
        <v>624979700</v>
      </c>
      <c r="AU114" s="4">
        <v>622617500</v>
      </c>
      <c r="AV114" s="4">
        <v>648185800</v>
      </c>
      <c r="AW114" s="4">
        <v>695406600</v>
      </c>
      <c r="AX114" s="4">
        <v>692969100</v>
      </c>
      <c r="AY114" s="4">
        <v>448143800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</row>
    <row r="115" spans="1:65" x14ac:dyDescent="0.25">
      <c r="A115" s="1">
        <v>74</v>
      </c>
      <c r="B115" s="1" t="e">
        <f>VLOOKUP(E115,'[2]Peajes (1)'!$A:$D,4,0)</f>
        <v>#N/A</v>
      </c>
      <c r="C115" s="3" t="s">
        <v>100</v>
      </c>
      <c r="D115" s="3" t="s">
        <v>101</v>
      </c>
      <c r="E115" s="3" t="s">
        <v>106</v>
      </c>
      <c r="F115" s="4">
        <v>1008496700</v>
      </c>
      <c r="G115" s="4">
        <v>849830900</v>
      </c>
      <c r="H115" s="4">
        <v>916805400</v>
      </c>
      <c r="I115" s="4">
        <v>1009642700</v>
      </c>
      <c r="J115" s="4">
        <v>1007409800</v>
      </c>
      <c r="K115" s="4">
        <v>949606700</v>
      </c>
      <c r="L115" s="4">
        <v>1007144200</v>
      </c>
      <c r="M115" s="4">
        <v>917849000</v>
      </c>
      <c r="N115" s="4">
        <v>873944800</v>
      </c>
      <c r="O115" s="4">
        <v>922667500</v>
      </c>
      <c r="P115" s="4">
        <v>905771600</v>
      </c>
      <c r="Q115" s="4">
        <v>1044324600</v>
      </c>
      <c r="R115" s="4">
        <v>742557300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</row>
    <row r="116" spans="1:65" x14ac:dyDescent="0.25">
      <c r="A116" s="1">
        <v>98</v>
      </c>
      <c r="B116" s="1">
        <f>VLOOKUP(E116,'[2]Peajes (1)'!$A:$D,4,0)</f>
        <v>3856</v>
      </c>
      <c r="C116" s="3" t="s">
        <v>143</v>
      </c>
      <c r="D116" s="3" t="s">
        <v>144</v>
      </c>
      <c r="E116" s="3" t="s">
        <v>250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1378862700</v>
      </c>
      <c r="Q116" s="4">
        <v>1622328200</v>
      </c>
      <c r="R116" s="4">
        <v>1693148200</v>
      </c>
      <c r="S116" s="4">
        <v>1243021500</v>
      </c>
      <c r="T116" s="4">
        <v>1287206100</v>
      </c>
      <c r="U116" s="4">
        <v>1464063500</v>
      </c>
      <c r="V116" s="4">
        <v>1401310700</v>
      </c>
      <c r="W116" s="4">
        <v>1605653600</v>
      </c>
      <c r="X116" s="4">
        <v>1563213700</v>
      </c>
      <c r="Y116" s="4">
        <v>1573858500</v>
      </c>
      <c r="Z116" s="4">
        <v>1427684100</v>
      </c>
      <c r="AA116" s="4">
        <v>1565244300</v>
      </c>
      <c r="AB116" s="4">
        <v>1538016900</v>
      </c>
      <c r="AC116" s="4">
        <v>1796167000</v>
      </c>
      <c r="AD116" s="4">
        <v>1883315400</v>
      </c>
      <c r="AE116" s="4">
        <v>1407638200</v>
      </c>
      <c r="AF116" s="4">
        <v>1655287500</v>
      </c>
      <c r="AG116" s="4">
        <v>1280207000</v>
      </c>
      <c r="AH116" s="4">
        <v>1497498600</v>
      </c>
      <c r="AI116" s="4">
        <v>1334512800</v>
      </c>
      <c r="AJ116" s="4">
        <v>1376061800</v>
      </c>
      <c r="AK116" s="4">
        <v>1530565500</v>
      </c>
      <c r="AL116" s="4">
        <v>1333764700</v>
      </c>
      <c r="AM116" s="4">
        <v>1534149400</v>
      </c>
      <c r="AN116" s="4">
        <v>1599362100</v>
      </c>
      <c r="AO116" s="4">
        <v>1881920400</v>
      </c>
      <c r="AP116" s="4">
        <v>1995735900</v>
      </c>
      <c r="AQ116" s="4">
        <v>1513470300</v>
      </c>
      <c r="AR116" s="4">
        <v>1630429200</v>
      </c>
      <c r="AS116" s="4">
        <v>1759383000</v>
      </c>
      <c r="AT116" s="4">
        <v>1609343500</v>
      </c>
      <c r="AU116" s="4">
        <v>1828708100</v>
      </c>
      <c r="AV116" s="4">
        <v>1853839200</v>
      </c>
      <c r="AW116" s="4">
        <v>1840075100</v>
      </c>
      <c r="AX116" s="4">
        <v>1678646200</v>
      </c>
      <c r="AY116" s="4">
        <v>1823053900</v>
      </c>
      <c r="AZ116" s="4">
        <v>1745296500</v>
      </c>
      <c r="BA116" s="4">
        <v>2053300100</v>
      </c>
      <c r="BB116" s="4">
        <v>2082435500</v>
      </c>
      <c r="BC116" s="4">
        <v>1545740600</v>
      </c>
      <c r="BD116" s="4">
        <v>1882027000</v>
      </c>
      <c r="BE116" s="4">
        <v>1768313000</v>
      </c>
      <c r="BF116" s="4">
        <v>1806921500</v>
      </c>
      <c r="BG116" s="4">
        <v>1841323200</v>
      </c>
      <c r="BH116" s="4">
        <v>2026458300</v>
      </c>
      <c r="BI116" s="4">
        <v>2017494800</v>
      </c>
      <c r="BJ116" s="4">
        <v>1739568400</v>
      </c>
      <c r="BK116" s="4">
        <v>1926931600</v>
      </c>
      <c r="BL116" s="4">
        <v>1844804700</v>
      </c>
      <c r="BM116" s="4">
        <v>2132179900</v>
      </c>
    </row>
    <row r="117" spans="1:65" x14ac:dyDescent="0.25">
      <c r="A117" s="1">
        <v>23</v>
      </c>
      <c r="B117" s="1">
        <f>VLOOKUP(E117,'[2]Peajes (1)'!$A:$D,4,0)</f>
        <v>3808</v>
      </c>
      <c r="C117" s="3" t="s">
        <v>31</v>
      </c>
      <c r="D117" s="3" t="s">
        <v>32</v>
      </c>
      <c r="E117" s="3" t="s">
        <v>247</v>
      </c>
      <c r="F117" s="4">
        <v>1938352500</v>
      </c>
      <c r="G117" s="4">
        <v>1474306500</v>
      </c>
      <c r="H117" s="4">
        <v>1600927000</v>
      </c>
      <c r="I117" s="4">
        <v>1697136800</v>
      </c>
      <c r="J117" s="4">
        <v>1650772100</v>
      </c>
      <c r="K117" s="4">
        <v>1602293100</v>
      </c>
      <c r="L117" s="4">
        <v>1751200300</v>
      </c>
      <c r="M117" s="4">
        <v>1748493100</v>
      </c>
      <c r="N117" s="4">
        <v>1675987000</v>
      </c>
      <c r="O117" s="4">
        <v>1837273400</v>
      </c>
      <c r="P117" s="4">
        <v>1724376300</v>
      </c>
      <c r="Q117" s="4">
        <v>2082433900</v>
      </c>
      <c r="R117" s="4">
        <v>2172602500</v>
      </c>
      <c r="S117" s="4">
        <v>1766175200</v>
      </c>
      <c r="T117" s="4">
        <v>1905163900</v>
      </c>
      <c r="U117" s="4">
        <v>1880506300</v>
      </c>
      <c r="V117" s="4">
        <v>1804180000</v>
      </c>
      <c r="W117" s="4">
        <v>1903890200</v>
      </c>
      <c r="X117" s="4">
        <v>2026336000</v>
      </c>
      <c r="Y117" s="4">
        <v>2012076100</v>
      </c>
      <c r="Z117" s="4">
        <v>1924258100</v>
      </c>
      <c r="AA117" s="4">
        <v>2136403200</v>
      </c>
      <c r="AB117" s="4">
        <v>2044140300</v>
      </c>
      <c r="AC117" s="4">
        <v>2488980900</v>
      </c>
      <c r="AD117" s="4">
        <v>2695219500</v>
      </c>
      <c r="AE117" s="4">
        <v>2042833600</v>
      </c>
      <c r="AF117" s="4">
        <v>2399290600</v>
      </c>
      <c r="AG117" s="4">
        <v>2021991400</v>
      </c>
      <c r="AH117" s="4">
        <v>2101831200</v>
      </c>
      <c r="AI117" s="4">
        <v>2113499600</v>
      </c>
      <c r="AJ117" s="4">
        <v>1992158100</v>
      </c>
      <c r="AK117" s="4">
        <v>2435946700</v>
      </c>
      <c r="AL117" s="4">
        <v>2112837000</v>
      </c>
      <c r="AM117" s="4">
        <v>2299708800</v>
      </c>
      <c r="AN117" s="4">
        <v>2312439200</v>
      </c>
      <c r="AO117" s="4">
        <v>2678463600</v>
      </c>
      <c r="AP117" s="4">
        <v>2816312000</v>
      </c>
      <c r="AQ117" s="4">
        <v>2229883300</v>
      </c>
      <c r="AR117" s="4">
        <v>2366873100</v>
      </c>
      <c r="AS117" s="4">
        <v>2479053000</v>
      </c>
      <c r="AT117" s="4">
        <v>2395033900</v>
      </c>
      <c r="AU117" s="4">
        <v>2544746900</v>
      </c>
      <c r="AV117" s="4">
        <v>2589048300</v>
      </c>
      <c r="AW117" s="4">
        <v>2620958300</v>
      </c>
      <c r="AX117" s="4">
        <v>2384992800</v>
      </c>
      <c r="AY117" s="4">
        <v>2619050500</v>
      </c>
      <c r="AZ117" s="4">
        <v>2579592400</v>
      </c>
      <c r="BA117" s="4">
        <v>2991380100</v>
      </c>
      <c r="BB117" s="4">
        <v>3249990800</v>
      </c>
      <c r="BC117" s="4">
        <v>2472048400</v>
      </c>
      <c r="BD117" s="4">
        <v>2766351200</v>
      </c>
      <c r="BE117" s="4">
        <v>2650765400</v>
      </c>
      <c r="BF117" s="4">
        <v>2561002400</v>
      </c>
      <c r="BG117" s="4">
        <v>2710874800</v>
      </c>
      <c r="BH117" s="4">
        <v>2834697000</v>
      </c>
      <c r="BI117" s="4">
        <v>2901467200</v>
      </c>
      <c r="BJ117" s="4">
        <v>0</v>
      </c>
      <c r="BK117" s="4">
        <v>0</v>
      </c>
      <c r="BL117" s="4">
        <v>0</v>
      </c>
      <c r="BM117" s="4">
        <v>0</v>
      </c>
    </row>
    <row r="118" spans="1:65" s="10" customFormat="1" hidden="1" x14ac:dyDescent="0.25">
      <c r="A118" s="8">
        <v>29</v>
      </c>
      <c r="B118" s="1">
        <f>VLOOKUP(E118,'[2]Peajes (1)'!$A:$D,4,0)</f>
        <v>3925</v>
      </c>
      <c r="C118" s="8" t="s">
        <v>41</v>
      </c>
      <c r="D118" s="8" t="s">
        <v>42</v>
      </c>
      <c r="E118" s="8" t="s">
        <v>46</v>
      </c>
      <c r="F118" s="11">
        <v>1476040700</v>
      </c>
      <c r="G118" s="11">
        <v>1241650400</v>
      </c>
      <c r="H118" s="11">
        <v>1397278700</v>
      </c>
      <c r="I118" s="11">
        <v>1367917200</v>
      </c>
      <c r="J118" s="11">
        <v>1400447300</v>
      </c>
      <c r="K118" s="11">
        <v>1281008400</v>
      </c>
      <c r="L118" s="11">
        <v>1387357500</v>
      </c>
      <c r="M118" s="11">
        <v>1465563300</v>
      </c>
      <c r="N118" s="11">
        <v>1389565900</v>
      </c>
      <c r="O118" s="11">
        <v>1374011600</v>
      </c>
      <c r="P118" s="11">
        <v>1310585100</v>
      </c>
      <c r="Q118" s="11">
        <v>1447620900</v>
      </c>
      <c r="R118" s="11">
        <v>1418114100</v>
      </c>
      <c r="S118" s="11">
        <v>1210146300</v>
      </c>
      <c r="T118" s="11">
        <v>1372176200</v>
      </c>
      <c r="U118" s="11">
        <v>1330308450</v>
      </c>
      <c r="V118" s="11">
        <v>1369338350</v>
      </c>
      <c r="W118" s="11">
        <v>1371711800</v>
      </c>
      <c r="X118" s="11">
        <v>1526963500</v>
      </c>
      <c r="Y118" s="11">
        <v>1544155500</v>
      </c>
      <c r="Z118" s="11">
        <v>411817000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</row>
    <row r="119" spans="1:65" s="10" customFormat="1" hidden="1" x14ac:dyDescent="0.25">
      <c r="A119" s="8">
        <v>149</v>
      </c>
      <c r="B119" s="1">
        <f>VLOOKUP(E119,'[2]Peajes (1)'!$A:$D,4,0)</f>
        <v>3925</v>
      </c>
      <c r="C119" s="8" t="s">
        <v>225</v>
      </c>
      <c r="D119" s="8" t="s">
        <v>226</v>
      </c>
      <c r="E119" s="8" t="s">
        <v>46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1128318300</v>
      </c>
      <c r="AA119" s="11">
        <v>1499778800</v>
      </c>
      <c r="AB119" s="11">
        <v>1479040300</v>
      </c>
      <c r="AC119" s="11">
        <v>1549184500</v>
      </c>
      <c r="AD119" s="11">
        <v>1579903100</v>
      </c>
      <c r="AE119" s="11">
        <v>1426567950</v>
      </c>
      <c r="AF119" s="11">
        <v>1535688300</v>
      </c>
      <c r="AG119" s="11">
        <v>1416678650</v>
      </c>
      <c r="AH119" s="11">
        <v>1395321650</v>
      </c>
      <c r="AI119" s="11">
        <v>1342445750</v>
      </c>
      <c r="AJ119" s="11">
        <v>1398594950</v>
      </c>
      <c r="AK119" s="11">
        <v>1496106700</v>
      </c>
      <c r="AL119" s="11">
        <v>1492741400</v>
      </c>
      <c r="AM119" s="11">
        <v>1434759800</v>
      </c>
      <c r="AN119" s="11">
        <v>1380958100</v>
      </c>
      <c r="AO119" s="11">
        <v>1531267700</v>
      </c>
      <c r="AP119" s="11">
        <v>1580979350</v>
      </c>
      <c r="AQ119" s="11">
        <v>1365064050</v>
      </c>
      <c r="AR119" s="11">
        <v>1534092750</v>
      </c>
      <c r="AS119" s="11">
        <v>1521981550</v>
      </c>
      <c r="AT119" s="11">
        <v>1520355250</v>
      </c>
      <c r="AU119" s="11">
        <v>1480610600</v>
      </c>
      <c r="AV119" s="11">
        <v>1484724300</v>
      </c>
      <c r="AW119" s="11">
        <v>1694891700</v>
      </c>
      <c r="AX119" s="11">
        <v>1620453400</v>
      </c>
      <c r="AY119" s="11">
        <v>1565489450</v>
      </c>
      <c r="AZ119" s="11">
        <v>1514894400</v>
      </c>
      <c r="BA119" s="11">
        <v>1725818600</v>
      </c>
      <c r="BB119" s="11">
        <v>1705232550</v>
      </c>
      <c r="BC119" s="11">
        <v>1415698400</v>
      </c>
      <c r="BD119" s="11">
        <v>1610766350</v>
      </c>
      <c r="BE119" s="11">
        <v>1481687350</v>
      </c>
      <c r="BF119" s="11">
        <v>1506463950</v>
      </c>
      <c r="BG119" s="11">
        <v>1467353550</v>
      </c>
      <c r="BH119" s="11">
        <v>1622784250</v>
      </c>
      <c r="BI119" s="11">
        <v>1615596450</v>
      </c>
      <c r="BJ119" s="11">
        <v>1575771350</v>
      </c>
      <c r="BK119" s="11">
        <v>1626177300</v>
      </c>
      <c r="BL119" s="11">
        <v>1601349500</v>
      </c>
      <c r="BM119" s="11">
        <v>1772354200</v>
      </c>
    </row>
    <row r="120" spans="1:65" s="10" customFormat="1" x14ac:dyDescent="0.25">
      <c r="A120" s="8">
        <v>149</v>
      </c>
      <c r="B120" s="1">
        <f>VLOOKUP(E120,'[2]Peajes (1)'!$A:$D,4,0)</f>
        <v>3925</v>
      </c>
      <c r="C120" s="8" t="s">
        <v>225</v>
      </c>
      <c r="D120" s="8" t="s">
        <v>226</v>
      </c>
      <c r="E120" s="8" t="s">
        <v>46</v>
      </c>
      <c r="F120" s="11">
        <f>SUM(F118:F119)</f>
        <v>1476040700</v>
      </c>
      <c r="G120" s="11">
        <f t="shared" ref="G120:BM120" si="58">SUM(G118:G119)</f>
        <v>1241650400</v>
      </c>
      <c r="H120" s="11">
        <f t="shared" si="58"/>
        <v>1397278700</v>
      </c>
      <c r="I120" s="11">
        <f t="shared" si="58"/>
        <v>1367917200</v>
      </c>
      <c r="J120" s="11">
        <f t="shared" si="58"/>
        <v>1400447300</v>
      </c>
      <c r="K120" s="11">
        <f t="shared" si="58"/>
        <v>1281008400</v>
      </c>
      <c r="L120" s="11">
        <f t="shared" si="58"/>
        <v>1387357500</v>
      </c>
      <c r="M120" s="11">
        <f t="shared" si="58"/>
        <v>1465563300</v>
      </c>
      <c r="N120" s="11">
        <f t="shared" si="58"/>
        <v>1389565900</v>
      </c>
      <c r="O120" s="11">
        <f t="shared" si="58"/>
        <v>1374011600</v>
      </c>
      <c r="P120" s="11">
        <f t="shared" si="58"/>
        <v>1310585100</v>
      </c>
      <c r="Q120" s="11">
        <f t="shared" si="58"/>
        <v>1447620900</v>
      </c>
      <c r="R120" s="11">
        <f t="shared" si="58"/>
        <v>1418114100</v>
      </c>
      <c r="S120" s="11">
        <f t="shared" si="58"/>
        <v>1210146300</v>
      </c>
      <c r="T120" s="11">
        <f t="shared" si="58"/>
        <v>1372176200</v>
      </c>
      <c r="U120" s="11">
        <f t="shared" si="58"/>
        <v>1330308450</v>
      </c>
      <c r="V120" s="11">
        <f t="shared" si="58"/>
        <v>1369338350</v>
      </c>
      <c r="W120" s="11">
        <f t="shared" si="58"/>
        <v>1371711800</v>
      </c>
      <c r="X120" s="11">
        <f t="shared" si="58"/>
        <v>1526963500</v>
      </c>
      <c r="Y120" s="11">
        <f t="shared" si="58"/>
        <v>1544155500</v>
      </c>
      <c r="Z120" s="11">
        <f t="shared" si="58"/>
        <v>1540135300</v>
      </c>
      <c r="AA120" s="11">
        <f t="shared" si="58"/>
        <v>1499778800</v>
      </c>
      <c r="AB120" s="11">
        <f t="shared" si="58"/>
        <v>1479040300</v>
      </c>
      <c r="AC120" s="11">
        <f t="shared" si="58"/>
        <v>1549184500</v>
      </c>
      <c r="AD120" s="11">
        <f t="shared" si="58"/>
        <v>1579903100</v>
      </c>
      <c r="AE120" s="11">
        <f t="shared" si="58"/>
        <v>1426567950</v>
      </c>
      <c r="AF120" s="11">
        <f t="shared" si="58"/>
        <v>1535688300</v>
      </c>
      <c r="AG120" s="11">
        <f t="shared" si="58"/>
        <v>1416678650</v>
      </c>
      <c r="AH120" s="11">
        <f t="shared" si="58"/>
        <v>1395321650</v>
      </c>
      <c r="AI120" s="11">
        <f t="shared" si="58"/>
        <v>1342445750</v>
      </c>
      <c r="AJ120" s="11">
        <f t="shared" si="58"/>
        <v>1398594950</v>
      </c>
      <c r="AK120" s="11">
        <f t="shared" si="58"/>
        <v>1496106700</v>
      </c>
      <c r="AL120" s="11">
        <f t="shared" si="58"/>
        <v>1492741400</v>
      </c>
      <c r="AM120" s="11">
        <f t="shared" si="58"/>
        <v>1434759800</v>
      </c>
      <c r="AN120" s="11">
        <f t="shared" si="58"/>
        <v>1380958100</v>
      </c>
      <c r="AO120" s="11">
        <f t="shared" si="58"/>
        <v>1531267700</v>
      </c>
      <c r="AP120" s="11">
        <f t="shared" si="58"/>
        <v>1580979350</v>
      </c>
      <c r="AQ120" s="11">
        <f t="shared" si="58"/>
        <v>1365064050</v>
      </c>
      <c r="AR120" s="11">
        <f t="shared" si="58"/>
        <v>1534092750</v>
      </c>
      <c r="AS120" s="11">
        <f t="shared" si="58"/>
        <v>1521981550</v>
      </c>
      <c r="AT120" s="11">
        <f t="shared" si="58"/>
        <v>1520355250</v>
      </c>
      <c r="AU120" s="11">
        <f t="shared" si="58"/>
        <v>1480610600</v>
      </c>
      <c r="AV120" s="11">
        <f t="shared" si="58"/>
        <v>1484724300</v>
      </c>
      <c r="AW120" s="11">
        <f t="shared" si="58"/>
        <v>1694891700</v>
      </c>
      <c r="AX120" s="11">
        <f t="shared" si="58"/>
        <v>1620453400</v>
      </c>
      <c r="AY120" s="11">
        <f t="shared" si="58"/>
        <v>1565489450</v>
      </c>
      <c r="AZ120" s="11">
        <f t="shared" si="58"/>
        <v>1514894400</v>
      </c>
      <c r="BA120" s="11">
        <f t="shared" si="58"/>
        <v>1725818600</v>
      </c>
      <c r="BB120" s="11">
        <f t="shared" si="58"/>
        <v>1705232550</v>
      </c>
      <c r="BC120" s="11">
        <f t="shared" si="58"/>
        <v>1415698400</v>
      </c>
      <c r="BD120" s="11">
        <f t="shared" si="58"/>
        <v>1610766350</v>
      </c>
      <c r="BE120" s="11">
        <f t="shared" si="58"/>
        <v>1481687350</v>
      </c>
      <c r="BF120" s="11">
        <f t="shared" si="58"/>
        <v>1506463950</v>
      </c>
      <c r="BG120" s="11">
        <f t="shared" si="58"/>
        <v>1467353550</v>
      </c>
      <c r="BH120" s="11">
        <f t="shared" si="58"/>
        <v>1622784250</v>
      </c>
      <c r="BI120" s="11">
        <f t="shared" si="58"/>
        <v>1615596450</v>
      </c>
      <c r="BJ120" s="11">
        <f t="shared" si="58"/>
        <v>1575771350</v>
      </c>
      <c r="BK120" s="11">
        <f t="shared" si="58"/>
        <v>1626177300</v>
      </c>
      <c r="BL120" s="11">
        <f t="shared" si="58"/>
        <v>1601349500</v>
      </c>
      <c r="BM120" s="11">
        <f t="shared" si="58"/>
        <v>1772354200</v>
      </c>
    </row>
    <row r="121" spans="1:65" x14ac:dyDescent="0.25">
      <c r="A121" s="1">
        <v>88</v>
      </c>
      <c r="B121" s="1">
        <f>VLOOKUP(E121,'[2]Peajes (1)'!$A:$D,4,0)</f>
        <v>3941</v>
      </c>
      <c r="C121" s="3" t="s">
        <v>121</v>
      </c>
      <c r="D121" s="3" t="s">
        <v>122</v>
      </c>
      <c r="E121" s="3" t="s">
        <v>126</v>
      </c>
      <c r="F121" s="4">
        <v>932840900</v>
      </c>
      <c r="G121" s="4">
        <v>771856300</v>
      </c>
      <c r="H121" s="4">
        <v>845201600</v>
      </c>
      <c r="I121" s="4">
        <v>898296600</v>
      </c>
      <c r="J121" s="4">
        <v>855867500</v>
      </c>
      <c r="K121" s="4">
        <v>887269700</v>
      </c>
      <c r="L121" s="4">
        <v>940607500</v>
      </c>
      <c r="M121" s="4">
        <v>928890000</v>
      </c>
      <c r="N121" s="4">
        <v>914002500</v>
      </c>
      <c r="O121" s="4">
        <v>982313200</v>
      </c>
      <c r="P121" s="4">
        <v>896320200</v>
      </c>
      <c r="Q121" s="4">
        <v>975753000</v>
      </c>
      <c r="R121" s="4">
        <v>1028968000</v>
      </c>
      <c r="S121" s="4">
        <v>963481500</v>
      </c>
      <c r="T121" s="4">
        <v>1037814500</v>
      </c>
      <c r="U121" s="4">
        <v>1009342300</v>
      </c>
      <c r="V121" s="4">
        <v>1050392550</v>
      </c>
      <c r="W121" s="4">
        <v>1055423600</v>
      </c>
      <c r="X121" s="4">
        <v>1164093000</v>
      </c>
      <c r="Y121" s="4">
        <v>1018413400</v>
      </c>
      <c r="Z121" s="4">
        <v>983346600</v>
      </c>
      <c r="AA121" s="4">
        <v>1101172800</v>
      </c>
      <c r="AB121" s="4">
        <v>1101739400</v>
      </c>
      <c r="AC121" s="4">
        <v>1153980000</v>
      </c>
      <c r="AD121" s="4">
        <v>1299479200</v>
      </c>
      <c r="AE121" s="4">
        <v>1222265900</v>
      </c>
      <c r="AF121" s="4">
        <v>1228870500</v>
      </c>
      <c r="AG121" s="4">
        <v>1170370600</v>
      </c>
      <c r="AH121" s="4">
        <v>988939600</v>
      </c>
      <c r="AI121" s="4">
        <v>1021569200</v>
      </c>
      <c r="AJ121" s="4">
        <v>959435000</v>
      </c>
      <c r="AK121" s="4">
        <v>1069438000</v>
      </c>
      <c r="AL121" s="4">
        <v>1020333300</v>
      </c>
      <c r="AM121" s="4">
        <v>1047964800</v>
      </c>
      <c r="AN121" s="4">
        <v>1120544600</v>
      </c>
      <c r="AO121" s="4">
        <v>1159707500</v>
      </c>
      <c r="AP121" s="4">
        <v>1205901500</v>
      </c>
      <c r="AQ121" s="4">
        <v>1015297300</v>
      </c>
      <c r="AR121" s="4">
        <v>1145641000</v>
      </c>
      <c r="AS121" s="4">
        <v>1170228050</v>
      </c>
      <c r="AT121" s="4">
        <v>1114071600</v>
      </c>
      <c r="AU121" s="4">
        <v>1141524400</v>
      </c>
      <c r="AV121" s="4">
        <v>1150949100</v>
      </c>
      <c r="AW121" s="4">
        <v>1116513300</v>
      </c>
      <c r="AX121" s="4">
        <v>1086451700</v>
      </c>
      <c r="AY121" s="4">
        <v>1137941800</v>
      </c>
      <c r="AZ121" s="4">
        <v>1144120600</v>
      </c>
      <c r="BA121" s="4">
        <v>1204926100</v>
      </c>
      <c r="BB121" s="4">
        <v>1284271000</v>
      </c>
      <c r="BC121" s="4">
        <v>1088177700</v>
      </c>
      <c r="BD121" s="4">
        <v>1303962300</v>
      </c>
      <c r="BE121" s="4">
        <v>1193749700</v>
      </c>
      <c r="BF121" s="4">
        <v>1177147800</v>
      </c>
      <c r="BG121" s="4">
        <v>1293073650</v>
      </c>
      <c r="BH121" s="4">
        <v>1260649500</v>
      </c>
      <c r="BI121" s="4">
        <v>1266744500</v>
      </c>
      <c r="BJ121" s="4">
        <v>1235209900</v>
      </c>
      <c r="BK121" s="4">
        <v>1296581100</v>
      </c>
      <c r="BL121" s="4">
        <v>1263650700</v>
      </c>
      <c r="BM121" s="4">
        <v>1341757500</v>
      </c>
    </row>
    <row r="122" spans="1:65" x14ac:dyDescent="0.25">
      <c r="A122" s="1">
        <v>101</v>
      </c>
      <c r="B122" s="1">
        <f>VLOOKUP(E122,'[2]Peajes (1)'!$A:$D,4,0)</f>
        <v>3952</v>
      </c>
      <c r="C122" s="3" t="s">
        <v>151</v>
      </c>
      <c r="D122" s="3" t="s">
        <v>152</v>
      </c>
      <c r="E122" s="3" t="s">
        <v>153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214493200</v>
      </c>
      <c r="U122" s="4">
        <v>346046750</v>
      </c>
      <c r="V122" s="4">
        <v>352292700</v>
      </c>
      <c r="W122" s="4">
        <v>381725650</v>
      </c>
      <c r="X122" s="4">
        <v>374881500</v>
      </c>
      <c r="Y122" s="4">
        <v>374279500</v>
      </c>
      <c r="Z122" s="4">
        <v>351139450</v>
      </c>
      <c r="AA122" s="4">
        <v>368330850</v>
      </c>
      <c r="AB122" s="4">
        <v>361666800</v>
      </c>
      <c r="AC122" s="4">
        <v>440434200</v>
      </c>
      <c r="AD122" s="4">
        <v>479799850</v>
      </c>
      <c r="AE122" s="4">
        <v>343740900</v>
      </c>
      <c r="AF122" s="4">
        <v>412839700</v>
      </c>
      <c r="AG122" s="4">
        <v>368256250</v>
      </c>
      <c r="AH122" s="4">
        <v>388707600</v>
      </c>
      <c r="AI122" s="4">
        <v>415667250</v>
      </c>
      <c r="AJ122" s="4">
        <v>415804550</v>
      </c>
      <c r="AK122" s="4">
        <v>415485550</v>
      </c>
      <c r="AL122" s="4">
        <v>374972200</v>
      </c>
      <c r="AM122" s="4">
        <v>426841100</v>
      </c>
      <c r="AN122" s="4">
        <v>416386700</v>
      </c>
      <c r="AO122" s="4">
        <v>500581150</v>
      </c>
      <c r="AP122" s="4">
        <v>587610850</v>
      </c>
      <c r="AQ122" s="4">
        <v>390357200</v>
      </c>
      <c r="AR122" s="4">
        <v>426187200</v>
      </c>
      <c r="AS122" s="4">
        <v>440529650</v>
      </c>
      <c r="AT122" s="4">
        <v>410838850</v>
      </c>
      <c r="AU122" s="4">
        <v>425395700</v>
      </c>
      <c r="AV122" s="4">
        <v>435708700</v>
      </c>
      <c r="AW122" s="4">
        <v>415893250</v>
      </c>
      <c r="AX122" s="4">
        <v>409318000</v>
      </c>
      <c r="AY122" s="4">
        <v>447014250</v>
      </c>
      <c r="AZ122" s="4">
        <v>436259400</v>
      </c>
      <c r="BA122" s="4">
        <v>546898500</v>
      </c>
      <c r="BB122" s="4">
        <v>567245250</v>
      </c>
      <c r="BC122" s="4">
        <v>424609400</v>
      </c>
      <c r="BD122" s="4">
        <v>490294400</v>
      </c>
      <c r="BE122" s="4">
        <v>479456100</v>
      </c>
      <c r="BF122" s="4">
        <v>488050050</v>
      </c>
      <c r="BG122" s="4">
        <v>581561450</v>
      </c>
      <c r="BH122" s="4">
        <v>514470550</v>
      </c>
      <c r="BI122" s="4">
        <v>489252750</v>
      </c>
      <c r="BJ122" s="4">
        <v>491273750</v>
      </c>
      <c r="BK122" s="4">
        <v>526353800</v>
      </c>
      <c r="BL122" s="4">
        <v>486971600</v>
      </c>
      <c r="BM122" s="4">
        <v>577156100</v>
      </c>
    </row>
    <row r="123" spans="1:65" x14ac:dyDescent="0.25">
      <c r="A123" s="1">
        <v>16</v>
      </c>
      <c r="B123" s="1">
        <f>VLOOKUP(E123,'[2]Peajes (1)'!$A:$D,4,0)</f>
        <v>3939</v>
      </c>
      <c r="C123" s="3" t="s">
        <v>21</v>
      </c>
      <c r="D123" s="3" t="s">
        <v>22</v>
      </c>
      <c r="E123" s="3" t="s">
        <v>25</v>
      </c>
      <c r="F123" s="4">
        <v>1639089300</v>
      </c>
      <c r="G123" s="4">
        <v>1140454800</v>
      </c>
      <c r="H123" s="4">
        <v>1412606800</v>
      </c>
      <c r="I123" s="4">
        <v>1465572200</v>
      </c>
      <c r="J123" s="4">
        <v>1274537500</v>
      </c>
      <c r="K123" s="4">
        <v>1443511000</v>
      </c>
      <c r="L123" s="4">
        <v>1355035600</v>
      </c>
      <c r="M123" s="4">
        <v>1440373900</v>
      </c>
      <c r="N123" s="4">
        <v>1287129400</v>
      </c>
      <c r="O123" s="4">
        <v>1374955300</v>
      </c>
      <c r="P123" s="4">
        <v>1408555900</v>
      </c>
      <c r="Q123" s="4">
        <v>1644491200</v>
      </c>
      <c r="R123" s="4">
        <v>1772280500</v>
      </c>
      <c r="S123" s="4">
        <v>1368187900</v>
      </c>
      <c r="T123" s="4">
        <v>1513542100</v>
      </c>
      <c r="U123" s="4">
        <v>1554667900</v>
      </c>
      <c r="V123" s="4">
        <v>1521957500</v>
      </c>
      <c r="W123" s="4">
        <v>1657884600</v>
      </c>
      <c r="X123" s="4">
        <v>1670853400</v>
      </c>
      <c r="Y123" s="4">
        <v>1666913200</v>
      </c>
      <c r="Z123" s="4">
        <v>1453518900</v>
      </c>
      <c r="AA123" s="4">
        <v>1638917700</v>
      </c>
      <c r="AB123" s="4">
        <v>1716118500</v>
      </c>
      <c r="AC123" s="4">
        <v>1950935000</v>
      </c>
      <c r="AD123" s="4">
        <v>2146704600</v>
      </c>
      <c r="AE123" s="4">
        <v>1666969800</v>
      </c>
      <c r="AF123" s="4">
        <v>1987465300</v>
      </c>
      <c r="AG123" s="4">
        <v>1592873600</v>
      </c>
      <c r="AH123" s="4">
        <v>1837900900</v>
      </c>
      <c r="AI123" s="4">
        <v>1770839800</v>
      </c>
      <c r="AJ123" s="4">
        <v>2073798500</v>
      </c>
      <c r="AK123" s="4">
        <v>1857524100</v>
      </c>
      <c r="AL123" s="4">
        <v>1687647500</v>
      </c>
      <c r="AM123" s="4">
        <v>1808628200</v>
      </c>
      <c r="AN123" s="4">
        <v>1690581800</v>
      </c>
      <c r="AO123" s="4">
        <v>2211522700</v>
      </c>
      <c r="AP123" s="4">
        <v>2516824800</v>
      </c>
      <c r="AQ123" s="4">
        <v>1973095500</v>
      </c>
      <c r="AR123" s="4">
        <v>2099465700</v>
      </c>
      <c r="AS123" s="4">
        <v>2197674600</v>
      </c>
      <c r="AT123" s="4">
        <v>1867987000</v>
      </c>
      <c r="AU123" s="4">
        <v>2148617400</v>
      </c>
      <c r="AV123" s="4">
        <v>2257298600</v>
      </c>
      <c r="AW123" s="4">
        <v>2070234600</v>
      </c>
      <c r="AX123" s="4">
        <v>1919977300</v>
      </c>
      <c r="AY123" s="4">
        <v>2214439800</v>
      </c>
      <c r="AZ123" s="4">
        <v>2060998000</v>
      </c>
      <c r="BA123" s="4">
        <v>2417176500</v>
      </c>
      <c r="BB123" s="4">
        <v>2473418300</v>
      </c>
      <c r="BC123" s="4">
        <v>1970802800</v>
      </c>
      <c r="BD123" s="4">
        <v>2403180400</v>
      </c>
      <c r="BE123" s="4">
        <v>2042297700</v>
      </c>
      <c r="BF123" s="4">
        <v>1967619000</v>
      </c>
      <c r="BG123" s="4">
        <v>2276672400</v>
      </c>
      <c r="BH123" s="4">
        <v>2551952400</v>
      </c>
      <c r="BI123" s="4">
        <v>2400760900</v>
      </c>
      <c r="BJ123" s="4">
        <v>2152449100</v>
      </c>
      <c r="BK123" s="4">
        <v>2343183900</v>
      </c>
      <c r="BL123" s="4">
        <v>2401582000</v>
      </c>
      <c r="BM123" s="4">
        <v>2763932200</v>
      </c>
    </row>
    <row r="124" spans="1:65" s="10" customFormat="1" hidden="1" x14ac:dyDescent="0.25">
      <c r="A124" s="8">
        <v>92</v>
      </c>
      <c r="B124" s="1">
        <f>VLOOKUP(E124,'[2]Peajes (1)'!$A:$D,4,0)</f>
        <v>3921</v>
      </c>
      <c r="C124" s="8" t="s">
        <v>129</v>
      </c>
      <c r="D124" s="8" t="s">
        <v>130</v>
      </c>
      <c r="E124" s="8" t="s">
        <v>132</v>
      </c>
      <c r="F124" s="11">
        <v>827592700</v>
      </c>
      <c r="G124" s="11">
        <v>591417900</v>
      </c>
      <c r="H124" s="11">
        <v>690601800</v>
      </c>
      <c r="I124" s="11">
        <v>715001000</v>
      </c>
      <c r="J124" s="11">
        <v>653029700</v>
      </c>
      <c r="K124" s="11">
        <v>637273900</v>
      </c>
      <c r="L124" s="11">
        <v>661922500</v>
      </c>
      <c r="M124" s="11">
        <v>626454800</v>
      </c>
      <c r="N124" s="11">
        <v>608905800</v>
      </c>
      <c r="O124" s="11">
        <v>650651700</v>
      </c>
      <c r="P124" s="11">
        <v>642230800</v>
      </c>
      <c r="Q124" s="11">
        <v>740460100</v>
      </c>
      <c r="R124" s="11">
        <v>788067500</v>
      </c>
      <c r="S124" s="11">
        <v>607136900</v>
      </c>
      <c r="T124" s="11">
        <v>690809800</v>
      </c>
      <c r="U124" s="11">
        <v>700914000</v>
      </c>
      <c r="V124" s="11">
        <v>677713000</v>
      </c>
      <c r="W124" s="11">
        <v>725175700</v>
      </c>
      <c r="X124" s="11">
        <v>703731900</v>
      </c>
      <c r="Y124" s="11">
        <v>707473100</v>
      </c>
      <c r="Z124" s="11">
        <v>687136900</v>
      </c>
      <c r="AA124" s="11">
        <v>741058600</v>
      </c>
      <c r="AB124" s="11">
        <v>718955100</v>
      </c>
      <c r="AC124" s="11">
        <v>879619600</v>
      </c>
      <c r="AD124" s="11">
        <v>937469500</v>
      </c>
      <c r="AE124" s="11">
        <v>718555700</v>
      </c>
      <c r="AF124" s="11">
        <v>829566900</v>
      </c>
      <c r="AG124" s="11">
        <v>693476000</v>
      </c>
      <c r="AH124" s="11">
        <v>735940600</v>
      </c>
      <c r="AI124" s="11">
        <v>767762200</v>
      </c>
      <c r="AJ124" s="11">
        <v>728208400</v>
      </c>
      <c r="AK124" s="11">
        <v>753713200</v>
      </c>
      <c r="AL124" s="11">
        <v>719074300</v>
      </c>
      <c r="AM124" s="11">
        <v>776502400</v>
      </c>
      <c r="AN124" s="11">
        <v>754804700</v>
      </c>
      <c r="AO124" s="11">
        <v>864006300</v>
      </c>
      <c r="AP124" s="11">
        <v>932830500</v>
      </c>
      <c r="AQ124" s="11">
        <v>697092900</v>
      </c>
      <c r="AR124" s="11">
        <v>783381200</v>
      </c>
      <c r="AS124" s="11">
        <v>882347900</v>
      </c>
      <c r="AT124" s="11">
        <v>819318600</v>
      </c>
      <c r="AU124" s="11">
        <v>844012600</v>
      </c>
      <c r="AV124" s="11">
        <v>861075200</v>
      </c>
      <c r="AW124" s="11">
        <v>578198500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</row>
    <row r="125" spans="1:65" s="10" customFormat="1" hidden="1" x14ac:dyDescent="0.25">
      <c r="A125" s="8">
        <v>120</v>
      </c>
      <c r="B125" s="1">
        <f>VLOOKUP(E125,'[2]Peajes (1)'!$A:$D,4,0)</f>
        <v>3921</v>
      </c>
      <c r="C125" s="8" t="s">
        <v>177</v>
      </c>
      <c r="D125" s="8" t="s">
        <v>178</v>
      </c>
      <c r="E125" s="8" t="s">
        <v>132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386861100</v>
      </c>
      <c r="AX125" s="11">
        <v>1262420600</v>
      </c>
      <c r="AY125" s="11">
        <v>1361246800</v>
      </c>
      <c r="AZ125" s="11">
        <v>1348990700</v>
      </c>
      <c r="BA125" s="11">
        <v>1558436700</v>
      </c>
      <c r="BB125" s="11">
        <v>1689762000</v>
      </c>
      <c r="BC125" s="11">
        <v>1246570700</v>
      </c>
      <c r="BD125" s="11">
        <v>1437264300</v>
      </c>
      <c r="BE125" s="11">
        <v>1330776600</v>
      </c>
      <c r="BF125" s="11">
        <v>1240759700</v>
      </c>
      <c r="BG125" s="11">
        <v>1198105300</v>
      </c>
      <c r="BH125" s="11">
        <v>1349502800</v>
      </c>
      <c r="BI125" s="11">
        <v>1360299600</v>
      </c>
      <c r="BJ125" s="11">
        <v>1280051100</v>
      </c>
      <c r="BK125" s="11">
        <v>1381690400</v>
      </c>
      <c r="BL125" s="11">
        <v>1322513100</v>
      </c>
      <c r="BM125" s="11">
        <v>1545757200</v>
      </c>
    </row>
    <row r="126" spans="1:65" s="10" customFormat="1" x14ac:dyDescent="0.25">
      <c r="A126" s="8">
        <v>120</v>
      </c>
      <c r="B126" s="1">
        <f>VLOOKUP(E126,'[2]Peajes (1)'!$A:$D,4,0)</f>
        <v>3921</v>
      </c>
      <c r="C126" s="8" t="s">
        <v>177</v>
      </c>
      <c r="D126" s="8" t="s">
        <v>178</v>
      </c>
      <c r="E126" s="8" t="s">
        <v>132</v>
      </c>
      <c r="F126" s="11">
        <f>SUM(F124:F125)</f>
        <v>827592700</v>
      </c>
      <c r="G126" s="11">
        <f t="shared" ref="G126:BM126" si="59">SUM(G124:G125)</f>
        <v>591417900</v>
      </c>
      <c r="H126" s="11">
        <f t="shared" si="59"/>
        <v>690601800</v>
      </c>
      <c r="I126" s="11">
        <f t="shared" si="59"/>
        <v>715001000</v>
      </c>
      <c r="J126" s="11">
        <f t="shared" si="59"/>
        <v>653029700</v>
      </c>
      <c r="K126" s="11">
        <f t="shared" si="59"/>
        <v>637273900</v>
      </c>
      <c r="L126" s="11">
        <f t="shared" si="59"/>
        <v>661922500</v>
      </c>
      <c r="M126" s="11">
        <f t="shared" si="59"/>
        <v>626454800</v>
      </c>
      <c r="N126" s="11">
        <f t="shared" si="59"/>
        <v>608905800</v>
      </c>
      <c r="O126" s="11">
        <f t="shared" si="59"/>
        <v>650651700</v>
      </c>
      <c r="P126" s="11">
        <f t="shared" si="59"/>
        <v>642230800</v>
      </c>
      <c r="Q126" s="11">
        <f t="shared" si="59"/>
        <v>740460100</v>
      </c>
      <c r="R126" s="11">
        <f t="shared" si="59"/>
        <v>788067500</v>
      </c>
      <c r="S126" s="11">
        <f t="shared" si="59"/>
        <v>607136900</v>
      </c>
      <c r="T126" s="11">
        <f t="shared" si="59"/>
        <v>690809800</v>
      </c>
      <c r="U126" s="11">
        <f t="shared" si="59"/>
        <v>700914000</v>
      </c>
      <c r="V126" s="11">
        <f t="shared" si="59"/>
        <v>677713000</v>
      </c>
      <c r="W126" s="11">
        <f t="shared" si="59"/>
        <v>725175700</v>
      </c>
      <c r="X126" s="11">
        <f t="shared" si="59"/>
        <v>703731900</v>
      </c>
      <c r="Y126" s="11">
        <f t="shared" si="59"/>
        <v>707473100</v>
      </c>
      <c r="Z126" s="11">
        <f t="shared" si="59"/>
        <v>687136900</v>
      </c>
      <c r="AA126" s="11">
        <f t="shared" si="59"/>
        <v>741058600</v>
      </c>
      <c r="AB126" s="11">
        <f t="shared" si="59"/>
        <v>718955100</v>
      </c>
      <c r="AC126" s="11">
        <f t="shared" si="59"/>
        <v>879619600</v>
      </c>
      <c r="AD126" s="11">
        <f t="shared" si="59"/>
        <v>937469500</v>
      </c>
      <c r="AE126" s="11">
        <f t="shared" si="59"/>
        <v>718555700</v>
      </c>
      <c r="AF126" s="11">
        <f t="shared" si="59"/>
        <v>829566900</v>
      </c>
      <c r="AG126" s="11">
        <f t="shared" si="59"/>
        <v>693476000</v>
      </c>
      <c r="AH126" s="11">
        <f t="shared" si="59"/>
        <v>735940600</v>
      </c>
      <c r="AI126" s="11">
        <f t="shared" si="59"/>
        <v>767762200</v>
      </c>
      <c r="AJ126" s="11">
        <f t="shared" si="59"/>
        <v>728208400</v>
      </c>
      <c r="AK126" s="11">
        <f t="shared" si="59"/>
        <v>753713200</v>
      </c>
      <c r="AL126" s="11">
        <f t="shared" si="59"/>
        <v>719074300</v>
      </c>
      <c r="AM126" s="11">
        <f t="shared" si="59"/>
        <v>776502400</v>
      </c>
      <c r="AN126" s="11">
        <f t="shared" si="59"/>
        <v>754804700</v>
      </c>
      <c r="AO126" s="11">
        <f t="shared" si="59"/>
        <v>864006300</v>
      </c>
      <c r="AP126" s="11">
        <f t="shared" si="59"/>
        <v>932830500</v>
      </c>
      <c r="AQ126" s="11">
        <f t="shared" si="59"/>
        <v>697092900</v>
      </c>
      <c r="AR126" s="11">
        <f t="shared" si="59"/>
        <v>783381200</v>
      </c>
      <c r="AS126" s="11">
        <f t="shared" si="59"/>
        <v>882347900</v>
      </c>
      <c r="AT126" s="11">
        <f t="shared" si="59"/>
        <v>819318600</v>
      </c>
      <c r="AU126" s="11">
        <f t="shared" si="59"/>
        <v>844012600</v>
      </c>
      <c r="AV126" s="11">
        <f t="shared" si="59"/>
        <v>861075200</v>
      </c>
      <c r="AW126" s="11">
        <f t="shared" si="59"/>
        <v>965059600</v>
      </c>
      <c r="AX126" s="11">
        <f t="shared" si="59"/>
        <v>1262420600</v>
      </c>
      <c r="AY126" s="11">
        <f t="shared" si="59"/>
        <v>1361246800</v>
      </c>
      <c r="AZ126" s="11">
        <f t="shared" si="59"/>
        <v>1348990700</v>
      </c>
      <c r="BA126" s="11">
        <f t="shared" si="59"/>
        <v>1558436700</v>
      </c>
      <c r="BB126" s="11">
        <f t="shared" si="59"/>
        <v>1689762000</v>
      </c>
      <c r="BC126" s="11">
        <f t="shared" si="59"/>
        <v>1246570700</v>
      </c>
      <c r="BD126" s="11">
        <f t="shared" si="59"/>
        <v>1437264300</v>
      </c>
      <c r="BE126" s="11">
        <f t="shared" si="59"/>
        <v>1330776600</v>
      </c>
      <c r="BF126" s="11">
        <f t="shared" si="59"/>
        <v>1240759700</v>
      </c>
      <c r="BG126" s="11">
        <f t="shared" si="59"/>
        <v>1198105300</v>
      </c>
      <c r="BH126" s="11">
        <f t="shared" si="59"/>
        <v>1349502800</v>
      </c>
      <c r="BI126" s="11">
        <f t="shared" si="59"/>
        <v>1360299600</v>
      </c>
      <c r="BJ126" s="11">
        <f t="shared" si="59"/>
        <v>1280051100</v>
      </c>
      <c r="BK126" s="11">
        <f t="shared" si="59"/>
        <v>1381690400</v>
      </c>
      <c r="BL126" s="11">
        <f t="shared" si="59"/>
        <v>1322513100</v>
      </c>
      <c r="BM126" s="11">
        <f t="shared" si="59"/>
        <v>1545757200</v>
      </c>
    </row>
    <row r="127" spans="1:65" x14ac:dyDescent="0.25">
      <c r="A127" s="1">
        <v>125</v>
      </c>
      <c r="B127" s="1">
        <f>VLOOKUP(E127,'[2]Peajes (1)'!$A:$D,4,0)</f>
        <v>3964</v>
      </c>
      <c r="C127" s="3" t="s">
        <v>189</v>
      </c>
      <c r="D127" s="3" t="s">
        <v>190</v>
      </c>
      <c r="E127" s="3" t="s">
        <v>191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>
        <v>0</v>
      </c>
      <c r="AE127" s="4">
        <v>0</v>
      </c>
      <c r="AF127" s="4">
        <v>0</v>
      </c>
      <c r="AG127" s="4">
        <v>0</v>
      </c>
      <c r="AH127" s="4">
        <v>346980900</v>
      </c>
      <c r="AI127" s="4">
        <v>483823250</v>
      </c>
      <c r="AJ127" s="4">
        <v>464843500</v>
      </c>
      <c r="AK127" s="4">
        <v>523935700</v>
      </c>
      <c r="AL127" s="4">
        <v>485742200</v>
      </c>
      <c r="AM127" s="4">
        <v>493239100</v>
      </c>
      <c r="AN127" s="4">
        <v>488165600</v>
      </c>
      <c r="AO127" s="4">
        <v>624728000</v>
      </c>
      <c r="AP127" s="4">
        <v>610257100</v>
      </c>
      <c r="AQ127" s="4">
        <v>507092700</v>
      </c>
      <c r="AR127" s="4">
        <v>571007100</v>
      </c>
      <c r="AS127" s="4">
        <v>624573800</v>
      </c>
      <c r="AT127" s="4">
        <v>529768000</v>
      </c>
      <c r="AU127" s="4">
        <v>533843800</v>
      </c>
      <c r="AV127" s="4">
        <v>552759500</v>
      </c>
      <c r="AW127" s="4">
        <v>512157300</v>
      </c>
      <c r="AX127" s="4">
        <v>486472900</v>
      </c>
      <c r="AY127" s="4">
        <v>515762900</v>
      </c>
      <c r="AZ127" s="4">
        <v>506661100</v>
      </c>
      <c r="BA127" s="4">
        <v>627885300</v>
      </c>
      <c r="BB127" s="4">
        <v>641586800</v>
      </c>
      <c r="BC127" s="4">
        <v>272719500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</row>
    <row r="128" spans="1:65" x14ac:dyDescent="0.25">
      <c r="A128" s="1">
        <v>25</v>
      </c>
      <c r="B128" s="1">
        <f>VLOOKUP(E128,'[2]Peajes (1)'!$A:$D,4,0)</f>
        <v>3974</v>
      </c>
      <c r="C128" s="3" t="s">
        <v>37</v>
      </c>
      <c r="D128" s="3" t="s">
        <v>38</v>
      </c>
      <c r="E128" s="3" t="s">
        <v>40</v>
      </c>
      <c r="F128" s="4">
        <v>4260027900</v>
      </c>
      <c r="G128" s="4">
        <v>4023140200</v>
      </c>
      <c r="H128" s="4">
        <v>4646068400</v>
      </c>
      <c r="I128" s="4">
        <v>4526079800</v>
      </c>
      <c r="J128" s="4">
        <v>4486958700</v>
      </c>
      <c r="K128" s="4">
        <v>4260157200</v>
      </c>
      <c r="L128" s="4">
        <v>4638381500</v>
      </c>
      <c r="M128" s="4">
        <v>4661798300</v>
      </c>
      <c r="N128" s="4">
        <v>4429328900</v>
      </c>
      <c r="O128" s="4">
        <v>4628463300</v>
      </c>
      <c r="P128" s="4">
        <v>4370037600</v>
      </c>
      <c r="Q128" s="4">
        <v>4976485900</v>
      </c>
      <c r="R128" s="4">
        <v>4503591100</v>
      </c>
      <c r="S128" s="4">
        <v>4361662400</v>
      </c>
      <c r="T128" s="4">
        <v>4774160600</v>
      </c>
      <c r="U128" s="4">
        <v>4539751100</v>
      </c>
      <c r="V128" s="4">
        <v>4809992500</v>
      </c>
      <c r="W128" s="4">
        <v>4820429900</v>
      </c>
      <c r="X128" s="4">
        <v>5204422500</v>
      </c>
      <c r="Y128" s="4">
        <v>5199847000</v>
      </c>
      <c r="Z128" s="4">
        <v>5041356800</v>
      </c>
      <c r="AA128" s="4">
        <v>5165907900</v>
      </c>
      <c r="AB128" s="4">
        <v>4862477000</v>
      </c>
      <c r="AC128" s="4">
        <v>5404302800</v>
      </c>
      <c r="AD128" s="4">
        <v>4961509200</v>
      </c>
      <c r="AE128" s="4">
        <v>4982415900</v>
      </c>
      <c r="AF128" s="4">
        <v>5115309000</v>
      </c>
      <c r="AG128" s="4">
        <v>4990199900</v>
      </c>
      <c r="AH128" s="4">
        <v>5063535000</v>
      </c>
      <c r="AI128" s="4">
        <v>4969581400</v>
      </c>
      <c r="AJ128" s="4">
        <v>4883636400</v>
      </c>
      <c r="AK128" s="4">
        <v>5182408000</v>
      </c>
      <c r="AL128" s="4">
        <v>4962313700</v>
      </c>
      <c r="AM128" s="4">
        <v>5066872100</v>
      </c>
      <c r="AN128" s="4">
        <v>4916755200</v>
      </c>
      <c r="AO128" s="4">
        <v>5393722300</v>
      </c>
      <c r="AP128" s="4">
        <v>5077110100</v>
      </c>
      <c r="AQ128" s="4">
        <v>4882660900</v>
      </c>
      <c r="AR128" s="4">
        <v>5459294200</v>
      </c>
      <c r="AS128" s="4">
        <v>5296282400</v>
      </c>
      <c r="AT128" s="4">
        <v>5393692800</v>
      </c>
      <c r="AU128" s="4">
        <v>5332181100</v>
      </c>
      <c r="AV128" s="4">
        <v>5495908200</v>
      </c>
      <c r="AW128" s="4">
        <v>5484293700</v>
      </c>
      <c r="AX128" s="4">
        <v>5230989100</v>
      </c>
      <c r="AY128" s="4">
        <v>5465271000</v>
      </c>
      <c r="AZ128" s="4">
        <v>5412315900</v>
      </c>
      <c r="BA128" s="4">
        <v>5912242700</v>
      </c>
      <c r="BB128" s="4">
        <v>5436792500</v>
      </c>
      <c r="BC128" s="4">
        <v>5202437300</v>
      </c>
      <c r="BD128" s="4">
        <v>5791713000</v>
      </c>
      <c r="BE128" s="4">
        <v>5182971400</v>
      </c>
      <c r="BF128" s="4">
        <v>5902206200</v>
      </c>
      <c r="BG128" s="4">
        <v>5882285500</v>
      </c>
      <c r="BH128" s="4">
        <v>5961525800</v>
      </c>
      <c r="BI128" s="4">
        <v>6082898900</v>
      </c>
      <c r="BJ128" s="4">
        <v>5908303800</v>
      </c>
      <c r="BK128" s="4">
        <v>6202894400</v>
      </c>
      <c r="BL128" s="4">
        <v>6056332300</v>
      </c>
      <c r="BM128" s="4">
        <v>6569046900</v>
      </c>
    </row>
    <row r="129" spans="1:65" x14ac:dyDescent="0.25">
      <c r="A129" s="1">
        <v>126</v>
      </c>
      <c r="B129" s="1" t="e">
        <f>VLOOKUP(E129,'[2]Peajes (1)'!$A:$D,4,0)</f>
        <v>#N/A</v>
      </c>
      <c r="C129" s="3" t="s">
        <v>189</v>
      </c>
      <c r="D129" s="3" t="s">
        <v>190</v>
      </c>
      <c r="E129" s="3" t="s">
        <v>192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164874100</v>
      </c>
      <c r="AM129" s="4">
        <v>537141750</v>
      </c>
      <c r="AN129" s="4">
        <v>522735800</v>
      </c>
      <c r="AO129" s="4">
        <v>660958000</v>
      </c>
      <c r="AP129" s="4">
        <v>621021700</v>
      </c>
      <c r="AQ129" s="4">
        <v>263175150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</row>
    <row r="130" spans="1:65" x14ac:dyDescent="0.25">
      <c r="A130" s="1">
        <v>102</v>
      </c>
      <c r="B130" s="1">
        <f>VLOOKUP(E130,'[2]Peajes (1)'!$A:$D,4,0)</f>
        <v>3972</v>
      </c>
      <c r="C130" s="3" t="s">
        <v>154</v>
      </c>
      <c r="D130" s="3" t="s">
        <v>155</v>
      </c>
      <c r="E130" s="3" t="s">
        <v>156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1317652300</v>
      </c>
      <c r="AB130" s="4">
        <v>1272344250</v>
      </c>
      <c r="AC130" s="4">
        <v>1448453000</v>
      </c>
      <c r="AD130" s="4">
        <v>1407381400</v>
      </c>
      <c r="AE130" s="4">
        <v>1250353400</v>
      </c>
      <c r="AF130" s="4">
        <v>1342766700</v>
      </c>
      <c r="AG130" s="4">
        <v>1244240800</v>
      </c>
      <c r="AH130" s="4">
        <v>1288514800</v>
      </c>
      <c r="AI130" s="4">
        <v>1344636600</v>
      </c>
      <c r="AJ130" s="4">
        <v>1395141600</v>
      </c>
      <c r="AK130" s="4">
        <v>1380876700</v>
      </c>
      <c r="AL130" s="4">
        <v>1318791300</v>
      </c>
      <c r="AM130" s="4">
        <v>1346364700</v>
      </c>
      <c r="AN130" s="4">
        <v>1312799500</v>
      </c>
      <c r="AO130" s="4">
        <v>1516516600</v>
      </c>
      <c r="AP130" s="4">
        <v>1497558800</v>
      </c>
      <c r="AQ130" s="4">
        <v>1264700100</v>
      </c>
      <c r="AR130" s="4">
        <v>1340984000</v>
      </c>
      <c r="AS130" s="4">
        <v>1338833300</v>
      </c>
      <c r="AT130" s="4">
        <v>1305408900</v>
      </c>
      <c r="AU130" s="4">
        <v>1342112700</v>
      </c>
      <c r="AV130" s="4">
        <v>1397535300</v>
      </c>
      <c r="AW130" s="4">
        <v>1373798000</v>
      </c>
      <c r="AX130" s="4">
        <v>1324665000</v>
      </c>
      <c r="AY130" s="4">
        <v>1451480600</v>
      </c>
      <c r="AZ130" s="4">
        <v>1412049900</v>
      </c>
      <c r="BA130" s="4">
        <v>948616500</v>
      </c>
      <c r="BB130" s="4">
        <v>940673400</v>
      </c>
      <c r="BC130" s="4">
        <v>973823400</v>
      </c>
      <c r="BD130" s="4">
        <v>1162331350</v>
      </c>
      <c r="BE130" s="4">
        <v>1122420400</v>
      </c>
      <c r="BF130" s="4">
        <v>1139217300</v>
      </c>
      <c r="BG130" s="4">
        <v>1200844700</v>
      </c>
      <c r="BH130" s="4">
        <v>1233018400</v>
      </c>
      <c r="BI130" s="4">
        <v>1234582700</v>
      </c>
      <c r="BJ130" s="4">
        <v>1144462800</v>
      </c>
      <c r="BK130" s="4">
        <v>1214083000</v>
      </c>
      <c r="BL130" s="4">
        <v>1206201300</v>
      </c>
      <c r="BM130" s="4">
        <v>1428273500</v>
      </c>
    </row>
    <row r="131" spans="1:65" x14ac:dyDescent="0.25">
      <c r="A131" s="1">
        <v>94</v>
      </c>
      <c r="B131" s="1">
        <f>VLOOKUP(E131,'[2]Peajes (1)'!$A:$D,4,0)</f>
        <v>6805</v>
      </c>
      <c r="C131" s="3" t="s">
        <v>133</v>
      </c>
      <c r="D131" s="3" t="s">
        <v>134</v>
      </c>
      <c r="E131" s="3" t="s">
        <v>136</v>
      </c>
      <c r="F131" s="4">
        <v>1284437850</v>
      </c>
      <c r="G131" s="4">
        <v>991219550</v>
      </c>
      <c r="H131" s="4">
        <v>1046244900</v>
      </c>
      <c r="I131" s="4">
        <v>1118200820</v>
      </c>
      <c r="J131" s="4">
        <v>1550374900</v>
      </c>
      <c r="K131" s="4">
        <v>1230200500</v>
      </c>
      <c r="L131" s="4">
        <v>1142545750</v>
      </c>
      <c r="M131" s="4">
        <v>1094133200</v>
      </c>
      <c r="N131" s="4">
        <v>1037069200</v>
      </c>
      <c r="O131" s="4">
        <v>1113974450</v>
      </c>
      <c r="P131" s="4">
        <v>1280638250</v>
      </c>
      <c r="Q131" s="4">
        <v>1171647300</v>
      </c>
      <c r="R131" s="4">
        <v>1277167500</v>
      </c>
      <c r="S131" s="4">
        <v>1004356850</v>
      </c>
      <c r="T131" s="4">
        <v>983009450</v>
      </c>
      <c r="U131" s="4">
        <v>1103974600</v>
      </c>
      <c r="V131" s="4">
        <v>1119385000</v>
      </c>
      <c r="W131" s="4">
        <v>1105973350</v>
      </c>
      <c r="X131" s="4">
        <v>1119715600</v>
      </c>
      <c r="Y131" s="4">
        <v>1077697200</v>
      </c>
      <c r="Z131" s="4">
        <v>1043108050</v>
      </c>
      <c r="AA131" s="4">
        <v>1126385950</v>
      </c>
      <c r="AB131" s="4">
        <v>1110492500</v>
      </c>
      <c r="AC131" s="4">
        <v>1245084700</v>
      </c>
      <c r="AD131" s="4">
        <v>1394896500</v>
      </c>
      <c r="AE131" s="4">
        <v>1096419550</v>
      </c>
      <c r="AF131" s="4">
        <v>1205491550</v>
      </c>
      <c r="AG131" s="4">
        <v>636819450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</row>
    <row r="132" spans="1:65" x14ac:dyDescent="0.25">
      <c r="A132" s="1">
        <v>44</v>
      </c>
      <c r="B132" s="1">
        <f>VLOOKUP(E132,'[2]Peajes (1)'!$A:$D,4,0)</f>
        <v>6004</v>
      </c>
      <c r="C132" s="3" t="s">
        <v>59</v>
      </c>
      <c r="D132" s="3" t="s">
        <v>60</v>
      </c>
      <c r="E132" s="3" t="s">
        <v>67</v>
      </c>
      <c r="F132" s="4">
        <v>730595500</v>
      </c>
      <c r="G132" s="4">
        <v>636207600</v>
      </c>
      <c r="H132" s="4">
        <v>708637900</v>
      </c>
      <c r="I132" s="4">
        <v>704943600</v>
      </c>
      <c r="J132" s="4">
        <v>706375800</v>
      </c>
      <c r="K132" s="4">
        <v>690140500</v>
      </c>
      <c r="L132" s="4">
        <v>720477700</v>
      </c>
      <c r="M132" s="4">
        <v>741255900</v>
      </c>
      <c r="N132" s="4">
        <v>697677900</v>
      </c>
      <c r="O132" s="4">
        <v>733388800</v>
      </c>
      <c r="P132" s="4">
        <v>728021800</v>
      </c>
      <c r="Q132" s="4">
        <v>845835100</v>
      </c>
      <c r="R132" s="4">
        <v>814778700</v>
      </c>
      <c r="S132" s="4">
        <v>711667400</v>
      </c>
      <c r="T132" s="4">
        <v>831045700</v>
      </c>
      <c r="U132" s="4">
        <v>784633900</v>
      </c>
      <c r="V132" s="4">
        <v>801216700</v>
      </c>
      <c r="W132" s="4">
        <v>830888700</v>
      </c>
      <c r="X132" s="4">
        <v>908816500</v>
      </c>
      <c r="Y132" s="4">
        <v>893572300</v>
      </c>
      <c r="Z132" s="4">
        <v>804269200</v>
      </c>
      <c r="AA132" s="4">
        <v>862125600</v>
      </c>
      <c r="AB132" s="4">
        <v>863728500</v>
      </c>
      <c r="AC132" s="4">
        <v>1004981200</v>
      </c>
      <c r="AD132" s="4">
        <v>974653400</v>
      </c>
      <c r="AE132" s="4">
        <v>831984700</v>
      </c>
      <c r="AF132" s="4">
        <v>942696600</v>
      </c>
      <c r="AG132" s="4">
        <v>849852300</v>
      </c>
      <c r="AH132" s="4">
        <v>920097200</v>
      </c>
      <c r="AI132" s="4">
        <v>930049300</v>
      </c>
      <c r="AJ132" s="4">
        <v>1066087600</v>
      </c>
      <c r="AK132" s="4">
        <v>981119000</v>
      </c>
      <c r="AL132" s="4">
        <v>904634700</v>
      </c>
      <c r="AM132" s="4">
        <v>951523600</v>
      </c>
      <c r="AN132" s="4">
        <v>935507700</v>
      </c>
      <c r="AO132" s="4">
        <v>1076772400</v>
      </c>
      <c r="AP132" s="4">
        <v>1050381500</v>
      </c>
      <c r="AQ132" s="4">
        <v>886527400</v>
      </c>
      <c r="AR132" s="4">
        <v>999404100</v>
      </c>
      <c r="AS132" s="4">
        <v>1018701800</v>
      </c>
      <c r="AT132" s="4">
        <v>996169500</v>
      </c>
      <c r="AU132" s="4">
        <v>1017956400</v>
      </c>
      <c r="AV132" s="4">
        <v>1085042000</v>
      </c>
      <c r="AW132" s="4">
        <v>1060977900</v>
      </c>
      <c r="AX132" s="4">
        <v>973641100</v>
      </c>
      <c r="AY132" s="4">
        <v>1021876900</v>
      </c>
      <c r="AZ132" s="4">
        <v>1034617700</v>
      </c>
      <c r="BA132" s="4">
        <v>1181409800</v>
      </c>
      <c r="BB132" s="4">
        <v>1125549400</v>
      </c>
      <c r="BC132" s="4">
        <v>943389600</v>
      </c>
      <c r="BD132" s="4">
        <v>1083721700</v>
      </c>
      <c r="BE132" s="4">
        <v>1034939500</v>
      </c>
      <c r="BF132" s="4">
        <v>1010033600</v>
      </c>
      <c r="BG132" s="4">
        <v>1043173100</v>
      </c>
      <c r="BH132" s="4">
        <v>1126084100</v>
      </c>
      <c r="BI132" s="4">
        <v>1108952900</v>
      </c>
      <c r="BJ132" s="4">
        <v>1032416300</v>
      </c>
      <c r="BK132" s="4">
        <v>1098654200</v>
      </c>
      <c r="BL132" s="4">
        <v>0</v>
      </c>
      <c r="BM132" s="4">
        <v>0</v>
      </c>
    </row>
    <row r="133" spans="1:65" x14ac:dyDescent="0.25">
      <c r="A133" s="1">
        <v>75</v>
      </c>
      <c r="B133" s="1">
        <f>VLOOKUP(E133,'[2]Peajes (1)'!$A:$D,4,0)</f>
        <v>3874</v>
      </c>
      <c r="C133" s="3" t="s">
        <v>100</v>
      </c>
      <c r="D133" s="3" t="s">
        <v>101</v>
      </c>
      <c r="E133" s="3" t="s">
        <v>107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562421500</v>
      </c>
      <c r="S133" s="4">
        <v>1573003900</v>
      </c>
      <c r="T133" s="4">
        <v>1629740200</v>
      </c>
      <c r="U133" s="4">
        <v>1663148100</v>
      </c>
      <c r="V133" s="4">
        <v>1657040400</v>
      </c>
      <c r="W133" s="4">
        <v>1671025900</v>
      </c>
      <c r="X133" s="4">
        <v>1805012500</v>
      </c>
      <c r="Y133" s="4">
        <v>1755744800</v>
      </c>
      <c r="Z133" s="4">
        <v>1727640600</v>
      </c>
      <c r="AA133" s="4">
        <v>1826825900</v>
      </c>
      <c r="AB133" s="4">
        <v>1767855100</v>
      </c>
      <c r="AC133" s="4">
        <v>2001144300</v>
      </c>
      <c r="AD133" s="4">
        <v>2000364700</v>
      </c>
      <c r="AE133" s="4">
        <v>1775254400</v>
      </c>
      <c r="AF133" s="4">
        <v>1965043100</v>
      </c>
      <c r="AG133" s="4">
        <v>1878676200</v>
      </c>
      <c r="AH133" s="4">
        <v>1942044100</v>
      </c>
      <c r="AI133" s="4">
        <v>1922827700</v>
      </c>
      <c r="AJ133" s="4">
        <v>1937364000</v>
      </c>
      <c r="AK133" s="4">
        <v>2051155700</v>
      </c>
      <c r="AL133" s="4">
        <v>1961048100</v>
      </c>
      <c r="AM133" s="4">
        <v>2063266800</v>
      </c>
      <c r="AN133" s="4">
        <v>2034221600</v>
      </c>
      <c r="AO133" s="4">
        <v>2292931600</v>
      </c>
      <c r="AP133" s="4">
        <v>2203974100</v>
      </c>
      <c r="AQ133" s="4">
        <v>2045686100</v>
      </c>
      <c r="AR133" s="4">
        <v>2190873500</v>
      </c>
      <c r="AS133" s="4">
        <v>2134828100</v>
      </c>
      <c r="AT133" s="4">
        <v>2143636100</v>
      </c>
      <c r="AU133" s="4">
        <v>2138265000</v>
      </c>
      <c r="AV133" s="4">
        <v>2169933400</v>
      </c>
      <c r="AW133" s="4">
        <v>2169951700</v>
      </c>
      <c r="AX133" s="4">
        <v>2048557900</v>
      </c>
      <c r="AY133" s="4">
        <v>2159636800</v>
      </c>
      <c r="AZ133" s="4">
        <v>2147856000</v>
      </c>
      <c r="BA133" s="4">
        <v>2344888300</v>
      </c>
      <c r="BB133" s="4">
        <v>2300177400</v>
      </c>
      <c r="BC133" s="4">
        <v>2074211300</v>
      </c>
      <c r="BD133" s="4">
        <v>2322009500</v>
      </c>
      <c r="BE133" s="4">
        <v>2200156000</v>
      </c>
      <c r="BF133" s="4">
        <v>2191414900</v>
      </c>
      <c r="BG133" s="4">
        <v>2060644400</v>
      </c>
      <c r="BH133" s="4">
        <v>2228012300</v>
      </c>
      <c r="BI133" s="4">
        <v>2241156800</v>
      </c>
      <c r="BJ133" s="4">
        <v>2191783100</v>
      </c>
      <c r="BK133" s="4">
        <v>2316656300</v>
      </c>
      <c r="BL133" s="4">
        <v>2308250800</v>
      </c>
      <c r="BM133" s="4">
        <v>2511964300</v>
      </c>
    </row>
    <row r="134" spans="1:65" x14ac:dyDescent="0.25">
      <c r="A134" s="1">
        <v>156</v>
      </c>
      <c r="B134" s="1">
        <f>VLOOKUP(E134,'[2]Peajes (1)'!$A:$D,4,0)</f>
        <v>3953</v>
      </c>
      <c r="C134" s="3" t="s">
        <v>228</v>
      </c>
      <c r="D134" s="3" t="s">
        <v>229</v>
      </c>
      <c r="E134" s="3" t="s">
        <v>234</v>
      </c>
      <c r="F134" s="4">
        <v>1029937850</v>
      </c>
      <c r="G134" s="4">
        <v>673729000</v>
      </c>
      <c r="H134" s="4">
        <v>715537800</v>
      </c>
      <c r="I134" s="4">
        <v>869490850</v>
      </c>
      <c r="J134" s="4">
        <v>1266469650</v>
      </c>
      <c r="K134" s="4">
        <v>947903750</v>
      </c>
      <c r="L134" s="4">
        <v>801386600</v>
      </c>
      <c r="M134" s="4">
        <v>795851900</v>
      </c>
      <c r="N134" s="4">
        <v>709812600</v>
      </c>
      <c r="O134" s="4">
        <v>853537150</v>
      </c>
      <c r="P134" s="4">
        <v>931521150</v>
      </c>
      <c r="Q134" s="4">
        <v>980604350</v>
      </c>
      <c r="R134" s="4">
        <v>1119695450</v>
      </c>
      <c r="S134" s="4">
        <v>692883950</v>
      </c>
      <c r="T134" s="4">
        <v>761013200</v>
      </c>
      <c r="U134" s="4">
        <v>852492800</v>
      </c>
      <c r="V134" s="4">
        <v>772460000</v>
      </c>
      <c r="W134" s="4">
        <v>937617900</v>
      </c>
      <c r="X134" s="4">
        <v>924635500</v>
      </c>
      <c r="Y134" s="4">
        <v>911317600</v>
      </c>
      <c r="Z134" s="4">
        <v>774249900</v>
      </c>
      <c r="AA134" s="4">
        <v>949282703</v>
      </c>
      <c r="AB134" s="4">
        <v>848444800</v>
      </c>
      <c r="AC134" s="4">
        <v>1070398400</v>
      </c>
      <c r="AD134" s="4">
        <v>1208102600</v>
      </c>
      <c r="AE134" s="4">
        <v>769396400</v>
      </c>
      <c r="AF134" s="4">
        <v>1011397000</v>
      </c>
      <c r="AG134" s="4">
        <v>760608500</v>
      </c>
      <c r="AH134" s="4">
        <v>882574500</v>
      </c>
      <c r="AI134" s="4">
        <v>857996700</v>
      </c>
      <c r="AJ134" s="4">
        <v>845144900</v>
      </c>
      <c r="AK134" s="4">
        <v>929338500</v>
      </c>
      <c r="AL134" s="4">
        <v>815046100</v>
      </c>
      <c r="AM134" s="4">
        <v>979714000</v>
      </c>
      <c r="AN134" s="4">
        <v>942859400</v>
      </c>
      <c r="AO134" s="4">
        <v>1110589000</v>
      </c>
      <c r="AP134" s="4">
        <v>1277161300</v>
      </c>
      <c r="AQ134" s="4">
        <v>819098700</v>
      </c>
      <c r="AR134" s="4">
        <v>910888600</v>
      </c>
      <c r="AS134" s="4">
        <v>1051131800</v>
      </c>
      <c r="AT134" s="4">
        <v>896587700</v>
      </c>
      <c r="AU134" s="4">
        <v>970433800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</row>
    <row r="135" spans="1:65" x14ac:dyDescent="0.25">
      <c r="A135" s="1">
        <v>4</v>
      </c>
      <c r="B135" s="1">
        <f>VLOOKUP(E135,'[2]Peajes (1)'!$A:$D,4,0)</f>
        <v>3869</v>
      </c>
      <c r="C135" s="3" t="s">
        <v>4</v>
      </c>
      <c r="D135" s="3" t="s">
        <v>5</v>
      </c>
      <c r="E135" t="s">
        <v>248</v>
      </c>
      <c r="F135" s="4">
        <v>807324200</v>
      </c>
      <c r="G135" s="4">
        <v>638320900</v>
      </c>
      <c r="H135" s="4">
        <v>745710100</v>
      </c>
      <c r="I135" s="4">
        <v>756241900</v>
      </c>
      <c r="J135" s="4">
        <v>721278600</v>
      </c>
      <c r="K135" s="4">
        <v>753143500</v>
      </c>
      <c r="L135" s="4">
        <v>753435800</v>
      </c>
      <c r="M135" s="4">
        <v>787372400</v>
      </c>
      <c r="N135" s="4">
        <v>696277900</v>
      </c>
      <c r="O135" s="4">
        <v>758577400</v>
      </c>
      <c r="P135" s="4">
        <v>765755600</v>
      </c>
      <c r="Q135" s="4">
        <v>939977700</v>
      </c>
      <c r="R135" s="4">
        <v>906686500</v>
      </c>
      <c r="S135" s="4">
        <v>673874400</v>
      </c>
      <c r="T135" s="4">
        <v>746923100</v>
      </c>
      <c r="U135" s="4">
        <v>791586400</v>
      </c>
      <c r="V135" s="4">
        <v>807053650</v>
      </c>
      <c r="W135" s="4">
        <v>862202550</v>
      </c>
      <c r="X135" s="4">
        <v>866428600</v>
      </c>
      <c r="Y135" s="4">
        <v>863599600</v>
      </c>
      <c r="Z135" s="4">
        <v>786856100</v>
      </c>
      <c r="AA135" s="4">
        <v>854764300</v>
      </c>
      <c r="AB135" s="4">
        <v>829138700</v>
      </c>
      <c r="AC135" s="4">
        <v>1056851500</v>
      </c>
      <c r="AD135" s="4">
        <v>1025435600</v>
      </c>
      <c r="AE135" s="4">
        <v>782294900</v>
      </c>
      <c r="AF135" s="4">
        <v>923841000</v>
      </c>
      <c r="AG135" s="4">
        <v>787491600</v>
      </c>
      <c r="AH135" s="4">
        <v>901304700</v>
      </c>
      <c r="AI135" s="4">
        <v>851650800</v>
      </c>
      <c r="AJ135" s="4">
        <v>943822100</v>
      </c>
      <c r="AK135" s="4">
        <v>969326650</v>
      </c>
      <c r="AL135" s="4">
        <v>875512800</v>
      </c>
      <c r="AM135" s="4">
        <v>969258150</v>
      </c>
      <c r="AN135" s="4">
        <v>939378700</v>
      </c>
      <c r="AO135" s="4">
        <v>1174154700</v>
      </c>
      <c r="AP135" s="4">
        <v>1164878250</v>
      </c>
      <c r="AQ135" s="4">
        <v>866150000</v>
      </c>
      <c r="AR135" s="4">
        <v>935200400</v>
      </c>
      <c r="AS135" s="4">
        <v>898458900</v>
      </c>
      <c r="AT135" s="4">
        <v>882353150</v>
      </c>
      <c r="AU135" s="4">
        <v>979398100</v>
      </c>
      <c r="AV135" s="4">
        <v>1058363350</v>
      </c>
      <c r="AW135" s="4">
        <v>1014316950</v>
      </c>
      <c r="AX135" s="4">
        <v>909445900</v>
      </c>
      <c r="AY135" s="4">
        <v>980525050</v>
      </c>
      <c r="AZ135" s="4">
        <v>973853500</v>
      </c>
      <c r="BA135" s="4">
        <v>1217305300</v>
      </c>
      <c r="BB135" s="4">
        <v>1004673650</v>
      </c>
      <c r="BC135" s="4">
        <v>512294600</v>
      </c>
      <c r="BD135" s="4">
        <v>787570000</v>
      </c>
      <c r="BE135" s="4">
        <v>745732650</v>
      </c>
      <c r="BF135" s="4">
        <v>682533450</v>
      </c>
      <c r="BG135" s="4">
        <v>628437400</v>
      </c>
      <c r="BH135" s="4">
        <v>776425900</v>
      </c>
      <c r="BI135" s="4">
        <v>772941500</v>
      </c>
      <c r="BJ135" s="4">
        <v>742532950</v>
      </c>
      <c r="BK135" s="4">
        <v>822623350</v>
      </c>
      <c r="BL135" s="4">
        <v>837985800</v>
      </c>
      <c r="BM135" s="4">
        <v>1058718950</v>
      </c>
    </row>
    <row r="136" spans="1:65" x14ac:dyDescent="0.25">
      <c r="A136" s="1">
        <v>121</v>
      </c>
      <c r="B136" s="1">
        <f>VLOOKUP(E136,'[2]Peajes (1)'!$A:$D,4,0)</f>
        <v>6804</v>
      </c>
      <c r="C136" s="3" t="s">
        <v>177</v>
      </c>
      <c r="D136" s="3" t="s">
        <v>178</v>
      </c>
      <c r="E136" s="3" t="s">
        <v>183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</row>
    <row r="137" spans="1:65" x14ac:dyDescent="0.25">
      <c r="A137" s="1">
        <v>108</v>
      </c>
      <c r="B137" s="1">
        <f>VLOOKUP(E137,'[2]Peajes (1)'!$A:$D,4,0)</f>
        <v>3877</v>
      </c>
      <c r="C137" s="3" t="s">
        <v>166</v>
      </c>
      <c r="D137" s="3" t="s">
        <v>167</v>
      </c>
      <c r="E137" s="3" t="s">
        <v>169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1748023400</v>
      </c>
      <c r="AK137" s="4">
        <v>1695942450</v>
      </c>
      <c r="AL137" s="4">
        <v>1593378200</v>
      </c>
      <c r="AM137" s="4">
        <v>1791859100</v>
      </c>
      <c r="AN137" s="4">
        <v>1660905200</v>
      </c>
      <c r="AO137" s="4">
        <v>2119734528</v>
      </c>
      <c r="AP137" s="4">
        <v>2097589250</v>
      </c>
      <c r="AQ137" s="4">
        <v>1609127450</v>
      </c>
      <c r="AR137" s="4">
        <v>1772398400</v>
      </c>
      <c r="AS137" s="4">
        <v>1954679900</v>
      </c>
      <c r="AT137" s="4">
        <v>1638329300</v>
      </c>
      <c r="AU137" s="4">
        <v>1891626300</v>
      </c>
      <c r="AV137" s="4">
        <v>1981341750</v>
      </c>
      <c r="AW137" s="4">
        <v>1838369500</v>
      </c>
      <c r="AX137" s="4">
        <v>1720362100</v>
      </c>
      <c r="AY137" s="4">
        <v>1878220700</v>
      </c>
      <c r="AZ137" s="4">
        <v>1902702500</v>
      </c>
      <c r="BA137" s="4">
        <v>2471531500</v>
      </c>
      <c r="BB137" s="4">
        <v>1975223400</v>
      </c>
      <c r="BC137" s="4">
        <v>1686556800</v>
      </c>
      <c r="BD137" s="4">
        <v>2148234600</v>
      </c>
      <c r="BE137" s="4">
        <v>1722756300</v>
      </c>
      <c r="BF137" s="4">
        <v>1894166600</v>
      </c>
      <c r="BG137" s="4">
        <v>2661981900</v>
      </c>
      <c r="BH137" s="4">
        <v>2077614300</v>
      </c>
      <c r="BI137" s="4">
        <v>1945408300</v>
      </c>
      <c r="BJ137" s="4">
        <v>1852019300</v>
      </c>
      <c r="BK137" s="4">
        <v>2064759100</v>
      </c>
      <c r="BL137" s="4">
        <v>1990148700</v>
      </c>
      <c r="BM137" s="4">
        <v>2620090900</v>
      </c>
    </row>
    <row r="138" spans="1:65" x14ac:dyDescent="0.25">
      <c r="A138" s="1">
        <v>127</v>
      </c>
      <c r="B138" s="1">
        <f>VLOOKUP(E138,'[2]Peajes (1)'!$A:$D,4,0)</f>
        <v>3889</v>
      </c>
      <c r="C138" s="3" t="s">
        <v>189</v>
      </c>
      <c r="D138" s="3" t="s">
        <v>190</v>
      </c>
      <c r="E138" s="3" t="s">
        <v>193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>
        <v>0</v>
      </c>
      <c r="AE138" s="4">
        <v>0</v>
      </c>
      <c r="AF138" s="4">
        <v>0</v>
      </c>
      <c r="AG138" s="4">
        <v>0</v>
      </c>
      <c r="AH138" s="4">
        <v>152967800</v>
      </c>
      <c r="AI138" s="4">
        <v>571917750</v>
      </c>
      <c r="AJ138" s="4">
        <v>563505400</v>
      </c>
      <c r="AK138" s="4">
        <v>568048650</v>
      </c>
      <c r="AL138" s="4">
        <v>534229300</v>
      </c>
      <c r="AM138" s="4">
        <v>527331750</v>
      </c>
      <c r="AN138" s="4">
        <v>522577200</v>
      </c>
      <c r="AO138" s="4">
        <v>627138150</v>
      </c>
      <c r="AP138" s="4">
        <v>588604200</v>
      </c>
      <c r="AQ138" s="4">
        <v>527284950</v>
      </c>
      <c r="AR138" s="4">
        <v>588298650</v>
      </c>
      <c r="AS138" s="4">
        <v>558969150</v>
      </c>
      <c r="AT138" s="4">
        <v>559804300</v>
      </c>
      <c r="AU138" s="4">
        <v>581472550</v>
      </c>
      <c r="AV138" s="4">
        <v>608230300</v>
      </c>
      <c r="AW138" s="4">
        <v>596988650</v>
      </c>
      <c r="AX138" s="4">
        <v>562001000</v>
      </c>
      <c r="AY138" s="4">
        <v>590875450</v>
      </c>
      <c r="AZ138" s="4">
        <v>582182150</v>
      </c>
      <c r="BA138" s="4">
        <v>687253900</v>
      </c>
      <c r="BB138" s="4">
        <v>659413800</v>
      </c>
      <c r="BC138" s="4">
        <v>369167400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</row>
    <row r="139" spans="1:65" x14ac:dyDescent="0.25">
      <c r="A139" s="1">
        <v>128</v>
      </c>
      <c r="B139" s="1">
        <f>VLOOKUP(E139,'[2]Peajes (1)'!$A:$D,4,0)</f>
        <v>3981</v>
      </c>
      <c r="C139" s="3" t="s">
        <v>189</v>
      </c>
      <c r="D139" s="3" t="s">
        <v>190</v>
      </c>
      <c r="E139" s="3" t="s">
        <v>194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831739100</v>
      </c>
      <c r="Z139" s="4">
        <v>717684100</v>
      </c>
      <c r="AA139" s="4">
        <v>735774900</v>
      </c>
      <c r="AB139" s="4">
        <v>721036400</v>
      </c>
      <c r="AC139" s="4">
        <v>865501550</v>
      </c>
      <c r="AD139" s="4">
        <v>871764500</v>
      </c>
      <c r="AE139" s="4">
        <v>766846600</v>
      </c>
      <c r="AF139" s="4">
        <v>865550400</v>
      </c>
      <c r="AG139" s="4">
        <v>820317300</v>
      </c>
      <c r="AH139" s="4">
        <v>835288800</v>
      </c>
      <c r="AI139" s="4">
        <v>964126800</v>
      </c>
      <c r="AJ139" s="4">
        <v>1015191700</v>
      </c>
      <c r="AK139" s="4">
        <v>1012952100</v>
      </c>
      <c r="AL139" s="4">
        <v>961454800</v>
      </c>
      <c r="AM139" s="4">
        <v>980405400</v>
      </c>
      <c r="AN139" s="4">
        <v>971887450</v>
      </c>
      <c r="AO139" s="4">
        <v>1117228300</v>
      </c>
      <c r="AP139" s="4">
        <v>1097172250</v>
      </c>
      <c r="AQ139" s="4">
        <v>963106400</v>
      </c>
      <c r="AR139" s="4">
        <v>1106010500</v>
      </c>
      <c r="AS139" s="4">
        <v>1095005250</v>
      </c>
      <c r="AT139" s="4">
        <v>1113768700</v>
      </c>
      <c r="AU139" s="4">
        <v>1150816050</v>
      </c>
      <c r="AV139" s="4">
        <v>1222118700</v>
      </c>
      <c r="AW139" s="4">
        <v>1199368800</v>
      </c>
      <c r="AX139" s="4">
        <v>1188429200</v>
      </c>
      <c r="AY139" s="4">
        <v>1246199700</v>
      </c>
      <c r="AZ139" s="4">
        <v>1215070400</v>
      </c>
      <c r="BA139" s="4">
        <v>1431599100</v>
      </c>
      <c r="BB139" s="4">
        <v>1378342800</v>
      </c>
      <c r="BC139" s="4">
        <v>761020500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</row>
    <row r="140" spans="1:65" x14ac:dyDescent="0.25">
      <c r="A140" s="1">
        <v>122</v>
      </c>
      <c r="B140" s="1">
        <f>VLOOKUP(E140,'[2]Peajes (1)'!$A:$D,4,0)</f>
        <v>3820</v>
      </c>
      <c r="C140" s="3" t="s">
        <v>177</v>
      </c>
      <c r="D140" s="3" t="s">
        <v>178</v>
      </c>
      <c r="E140" s="3" t="s">
        <v>184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87945800</v>
      </c>
      <c r="AC140" s="4">
        <v>707714000</v>
      </c>
      <c r="AD140" s="4">
        <v>774410000</v>
      </c>
      <c r="AE140" s="4">
        <v>628462200</v>
      </c>
      <c r="AF140" s="4">
        <v>733209500</v>
      </c>
      <c r="AG140" s="4">
        <v>608805500</v>
      </c>
      <c r="AH140" s="4">
        <v>656454000</v>
      </c>
      <c r="AI140" s="4">
        <v>614601000</v>
      </c>
      <c r="AJ140" s="4">
        <v>635451600</v>
      </c>
      <c r="AK140" s="4">
        <v>1019690600</v>
      </c>
      <c r="AL140" s="4">
        <v>930378800</v>
      </c>
      <c r="AM140" s="4">
        <v>907357200</v>
      </c>
      <c r="AN140" s="4">
        <v>888135200</v>
      </c>
      <c r="AO140" s="4">
        <v>1033337300</v>
      </c>
      <c r="AP140" s="4">
        <v>1122703000</v>
      </c>
      <c r="AQ140" s="4">
        <v>866742000</v>
      </c>
      <c r="AR140" s="4">
        <v>973912200</v>
      </c>
      <c r="AS140" s="4">
        <v>1114992000</v>
      </c>
      <c r="AT140" s="4">
        <v>969873400</v>
      </c>
      <c r="AU140" s="4">
        <v>1040132700</v>
      </c>
      <c r="AV140" s="4">
        <v>1011385400</v>
      </c>
      <c r="AW140" s="4">
        <v>976759400</v>
      </c>
      <c r="AX140" s="4">
        <v>953471700</v>
      </c>
      <c r="AY140" s="4">
        <v>953694100</v>
      </c>
      <c r="AZ140" s="4">
        <v>950461400</v>
      </c>
      <c r="BA140" s="4">
        <v>1123330900</v>
      </c>
      <c r="BB140" s="4">
        <v>1236633100</v>
      </c>
      <c r="BC140" s="4">
        <v>960229400</v>
      </c>
      <c r="BD140" s="4">
        <v>1122183400</v>
      </c>
      <c r="BE140" s="4">
        <v>1105495800</v>
      </c>
      <c r="BF140" s="4">
        <v>1037629000</v>
      </c>
      <c r="BG140" s="4">
        <v>1035941000</v>
      </c>
      <c r="BH140" s="4">
        <v>1108288800</v>
      </c>
      <c r="BI140" s="4">
        <v>1069565000</v>
      </c>
      <c r="BJ140" s="4">
        <v>991343700</v>
      </c>
      <c r="BK140" s="4">
        <v>1042339900</v>
      </c>
      <c r="BL140" s="4">
        <v>1012341200</v>
      </c>
      <c r="BM140" s="4">
        <v>1234068700</v>
      </c>
    </row>
    <row r="141" spans="1:65" x14ac:dyDescent="0.25">
      <c r="A141" s="1">
        <v>150</v>
      </c>
      <c r="B141" s="1">
        <f>VLOOKUP(E141,'[2]Peajes (1)'!$A:$D,4,0)</f>
        <v>3888</v>
      </c>
      <c r="C141" s="3" t="s">
        <v>225</v>
      </c>
      <c r="D141" s="3" t="s">
        <v>226</v>
      </c>
      <c r="E141" s="3" t="s">
        <v>227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711002600</v>
      </c>
      <c r="AA141" s="4">
        <v>879869900</v>
      </c>
      <c r="AB141" s="4">
        <v>829846100</v>
      </c>
      <c r="AC141" s="4">
        <v>859041700</v>
      </c>
      <c r="AD141" s="4">
        <v>855126200</v>
      </c>
      <c r="AE141" s="4">
        <v>747969900</v>
      </c>
      <c r="AF141" s="4">
        <v>833619100</v>
      </c>
      <c r="AG141" s="4">
        <v>761539300</v>
      </c>
      <c r="AH141" s="4">
        <v>763046000</v>
      </c>
      <c r="AI141" s="4">
        <v>794948400</v>
      </c>
      <c r="AJ141" s="4">
        <v>790850200</v>
      </c>
      <c r="AK141" s="4">
        <v>885257600</v>
      </c>
      <c r="AL141" s="4">
        <v>831770700</v>
      </c>
      <c r="AM141" s="4">
        <v>845479300</v>
      </c>
      <c r="AN141" s="4">
        <v>832910000</v>
      </c>
      <c r="AO141" s="4">
        <v>916746400</v>
      </c>
      <c r="AP141" s="4">
        <v>946494600</v>
      </c>
      <c r="AQ141" s="4">
        <v>789358800</v>
      </c>
      <c r="AR141" s="4">
        <v>920208400</v>
      </c>
      <c r="AS141" s="4">
        <v>939085100</v>
      </c>
      <c r="AT141" s="4">
        <v>984774800</v>
      </c>
      <c r="AU141" s="4">
        <v>917259450</v>
      </c>
      <c r="AV141" s="4">
        <v>928009500</v>
      </c>
      <c r="AW141" s="4">
        <v>1123273400</v>
      </c>
      <c r="AX141" s="4">
        <v>1126174400</v>
      </c>
      <c r="AY141" s="4">
        <v>984900600</v>
      </c>
      <c r="AZ141" s="4">
        <v>973390200</v>
      </c>
      <c r="BA141" s="4">
        <v>1053106000</v>
      </c>
      <c r="BB141" s="4">
        <v>1040651800</v>
      </c>
      <c r="BC141" s="4">
        <v>873915400</v>
      </c>
      <c r="BD141" s="4">
        <v>974299800</v>
      </c>
      <c r="BE141" s="4">
        <v>958475400</v>
      </c>
      <c r="BF141" s="4">
        <v>1050638200</v>
      </c>
      <c r="BG141" s="4">
        <v>1018936700</v>
      </c>
      <c r="BH141" s="4">
        <v>1084161600</v>
      </c>
      <c r="BI141" s="4">
        <v>1194884800</v>
      </c>
      <c r="BJ141" s="4">
        <v>1087298100</v>
      </c>
      <c r="BK141" s="4">
        <v>1032662900</v>
      </c>
      <c r="BL141" s="4">
        <v>1067705500</v>
      </c>
      <c r="BM141" s="4">
        <v>1174569250</v>
      </c>
    </row>
    <row r="142" spans="1:65" x14ac:dyDescent="0.25">
      <c r="A142" s="1">
        <v>5</v>
      </c>
      <c r="B142" s="1">
        <f>VLOOKUP(E142,'[2]Peajes (1)'!$A:$D,4,0)</f>
        <v>3929</v>
      </c>
      <c r="C142" s="3" t="s">
        <v>4</v>
      </c>
      <c r="D142" s="3" t="s">
        <v>5</v>
      </c>
      <c r="E142" t="s">
        <v>249</v>
      </c>
      <c r="F142" s="4">
        <v>1438841400</v>
      </c>
      <c r="G142" s="4">
        <v>1116925900</v>
      </c>
      <c r="H142" s="4">
        <v>1258975800</v>
      </c>
      <c r="I142" s="4">
        <v>1382158750</v>
      </c>
      <c r="J142" s="4">
        <v>1336247300</v>
      </c>
      <c r="K142" s="4">
        <v>1326693550</v>
      </c>
      <c r="L142" s="4">
        <v>1416067400</v>
      </c>
      <c r="M142" s="4">
        <v>1422343900</v>
      </c>
      <c r="N142" s="4">
        <v>1297898950</v>
      </c>
      <c r="O142" s="4">
        <v>1451722050</v>
      </c>
      <c r="P142" s="4">
        <v>1403824300</v>
      </c>
      <c r="Q142" s="4">
        <v>1586591200</v>
      </c>
      <c r="R142" s="4">
        <v>1739426700</v>
      </c>
      <c r="S142" s="4">
        <v>1304248400</v>
      </c>
      <c r="T142" s="4">
        <v>1263388650</v>
      </c>
      <c r="U142" s="4">
        <v>1496132400</v>
      </c>
      <c r="V142" s="4">
        <v>1430551750</v>
      </c>
      <c r="W142" s="4">
        <v>1522583600</v>
      </c>
      <c r="X142" s="4">
        <v>1573456100</v>
      </c>
      <c r="Y142" s="4">
        <v>1591517200</v>
      </c>
      <c r="Z142" s="4">
        <v>1482324900</v>
      </c>
      <c r="AA142" s="4">
        <v>1588448550</v>
      </c>
      <c r="AB142" s="4">
        <v>1509641700</v>
      </c>
      <c r="AC142" s="4">
        <v>1780366050</v>
      </c>
      <c r="AD142" s="4">
        <v>1909011050</v>
      </c>
      <c r="AE142" s="4">
        <v>1457632300</v>
      </c>
      <c r="AF142" s="4">
        <v>1749069850</v>
      </c>
      <c r="AG142" s="4">
        <v>1418827800</v>
      </c>
      <c r="AH142" s="4">
        <v>1553020500</v>
      </c>
      <c r="AI142" s="4">
        <v>1337361550</v>
      </c>
      <c r="AJ142" s="4">
        <v>1426173000</v>
      </c>
      <c r="AK142" s="4">
        <v>1884098100</v>
      </c>
      <c r="AL142" s="4">
        <v>1564136050</v>
      </c>
      <c r="AM142" s="4">
        <v>1661897750</v>
      </c>
      <c r="AN142" s="4">
        <v>1563744100</v>
      </c>
      <c r="AO142" s="4">
        <v>1807995450</v>
      </c>
      <c r="AP142" s="4">
        <v>1943588550</v>
      </c>
      <c r="AQ142" s="4">
        <v>1443673000</v>
      </c>
      <c r="AR142" s="4">
        <v>1533398800</v>
      </c>
      <c r="AS142" s="4">
        <v>1649211550</v>
      </c>
      <c r="AT142" s="4">
        <v>1429705200</v>
      </c>
      <c r="AU142" s="4">
        <v>1699698200</v>
      </c>
      <c r="AV142" s="4">
        <v>1708071700</v>
      </c>
      <c r="AW142" s="4">
        <v>1723681450</v>
      </c>
      <c r="AX142" s="4">
        <v>1575441400</v>
      </c>
      <c r="AY142" s="4">
        <v>1675976600</v>
      </c>
      <c r="AZ142" s="4">
        <v>1619146100</v>
      </c>
      <c r="BA142" s="4">
        <v>1836401200</v>
      </c>
      <c r="BB142" s="4">
        <v>1280487850</v>
      </c>
      <c r="BC142" s="4">
        <v>161118900</v>
      </c>
      <c r="BD142" s="4">
        <v>739616950</v>
      </c>
      <c r="BE142" s="4">
        <v>1108756950</v>
      </c>
      <c r="BF142" s="4">
        <v>950100100</v>
      </c>
      <c r="BG142" s="4">
        <v>867523700</v>
      </c>
      <c r="BH142" s="4">
        <v>1134173550</v>
      </c>
      <c r="BI142" s="4">
        <v>1170848650</v>
      </c>
      <c r="BJ142" s="4">
        <v>1063057700</v>
      </c>
      <c r="BK142" s="4">
        <v>1135105100</v>
      </c>
      <c r="BL142" s="4">
        <v>1093613250</v>
      </c>
      <c r="BM142" s="4">
        <v>1402448000</v>
      </c>
    </row>
    <row r="143" spans="1:65" x14ac:dyDescent="0.25">
      <c r="A143" s="1">
        <v>9</v>
      </c>
      <c r="B143" s="1">
        <f>VLOOKUP(E143,'[2]Peajes (1)'!$A:$D,4,0)</f>
        <v>3943</v>
      </c>
      <c r="C143" s="3" t="s">
        <v>13</v>
      </c>
      <c r="D143" s="3" t="s">
        <v>14</v>
      </c>
      <c r="E143" s="3" t="s">
        <v>16</v>
      </c>
      <c r="F143" s="4">
        <v>4719395200</v>
      </c>
      <c r="G143" s="4">
        <v>3662872500</v>
      </c>
      <c r="H143" s="4">
        <v>4226490000</v>
      </c>
      <c r="I143" s="4">
        <v>4340369900</v>
      </c>
      <c r="J143" s="4">
        <v>4079749900</v>
      </c>
      <c r="K143" s="4">
        <v>4350275800</v>
      </c>
      <c r="L143" s="4">
        <v>4256612800</v>
      </c>
      <c r="M143" s="4">
        <v>4576705500</v>
      </c>
      <c r="N143" s="4">
        <v>4111114200</v>
      </c>
      <c r="O143" s="4">
        <v>4548063800</v>
      </c>
      <c r="P143" s="4">
        <v>4294485700</v>
      </c>
      <c r="Q143" s="4">
        <v>5159052900</v>
      </c>
      <c r="R143" s="4">
        <v>5082671600</v>
      </c>
      <c r="S143" s="4">
        <v>4010358300</v>
      </c>
      <c r="T143" s="4">
        <v>4677618300</v>
      </c>
      <c r="U143" s="4">
        <v>4513036400</v>
      </c>
      <c r="V143" s="4">
        <v>4747271500</v>
      </c>
      <c r="W143" s="4">
        <v>4859452700</v>
      </c>
      <c r="X143" s="4">
        <v>4901196100</v>
      </c>
      <c r="Y143" s="4">
        <v>5100757300</v>
      </c>
      <c r="Z143" s="4">
        <v>4597431500</v>
      </c>
      <c r="AA143" s="4">
        <v>5125226600</v>
      </c>
      <c r="AB143" s="4">
        <v>4953879600</v>
      </c>
      <c r="AC143" s="4">
        <v>5765132200</v>
      </c>
      <c r="AD143" s="4">
        <v>5765465800</v>
      </c>
      <c r="AE143" s="4">
        <v>4637033700</v>
      </c>
      <c r="AF143" s="4">
        <v>5428431300</v>
      </c>
      <c r="AG143" s="4">
        <v>4849502500</v>
      </c>
      <c r="AH143" s="4">
        <v>5272959500</v>
      </c>
      <c r="AI143" s="4">
        <v>5275830900</v>
      </c>
      <c r="AJ143" s="4">
        <v>5715199200</v>
      </c>
      <c r="AK143" s="4">
        <v>5382663500</v>
      </c>
      <c r="AL143" s="4">
        <v>4874961500</v>
      </c>
      <c r="AM143" s="4">
        <v>5387707900</v>
      </c>
      <c r="AN143" s="4">
        <v>5121574700</v>
      </c>
      <c r="AO143" s="4">
        <v>5885660300</v>
      </c>
      <c r="AP143" s="4">
        <v>5972806000</v>
      </c>
      <c r="AQ143" s="4">
        <v>4650096500</v>
      </c>
      <c r="AR143" s="4">
        <v>5214721500</v>
      </c>
      <c r="AS143" s="4">
        <v>5539743000</v>
      </c>
      <c r="AT143" s="4">
        <v>5366524700</v>
      </c>
      <c r="AU143" s="4">
        <v>5569427400</v>
      </c>
      <c r="AV143" s="4">
        <v>5765286900</v>
      </c>
      <c r="AW143" s="4">
        <v>5741485500</v>
      </c>
      <c r="AX143" s="4">
        <v>5198974300</v>
      </c>
      <c r="AY143" s="4">
        <v>5837034200</v>
      </c>
      <c r="AZ143" s="4">
        <v>5690321000</v>
      </c>
      <c r="BA143" s="4">
        <v>6650441200</v>
      </c>
      <c r="BB143" s="4">
        <v>6544320100</v>
      </c>
      <c r="BC143" s="4">
        <v>5119903100</v>
      </c>
      <c r="BD143" s="4">
        <v>6072689200</v>
      </c>
      <c r="BE143" s="4">
        <v>5539762400</v>
      </c>
      <c r="BF143" s="4">
        <v>5688328100</v>
      </c>
      <c r="BG143" s="4">
        <v>6033830200</v>
      </c>
      <c r="BH143" s="4">
        <v>6338876200</v>
      </c>
      <c r="BI143" s="4">
        <v>6214521600</v>
      </c>
      <c r="BJ143" s="4">
        <v>5754896300</v>
      </c>
      <c r="BK143" s="4">
        <v>6142474200</v>
      </c>
      <c r="BL143" s="4">
        <v>6031481900</v>
      </c>
      <c r="BM143" s="4">
        <v>7088451900</v>
      </c>
    </row>
    <row r="144" spans="1:65" x14ac:dyDescent="0.25">
      <c r="A144" s="1">
        <v>100</v>
      </c>
      <c r="B144" s="1">
        <f>VLOOKUP(E144,'[2]Peajes (1)'!$A:$D,4,0)</f>
        <v>3949</v>
      </c>
      <c r="C144" s="3" t="s">
        <v>147</v>
      </c>
      <c r="D144" s="3" t="s">
        <v>148</v>
      </c>
      <c r="E144" s="3" t="s">
        <v>150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1410480550</v>
      </c>
      <c r="R144" s="4">
        <v>1513718700</v>
      </c>
      <c r="S144" s="4">
        <v>1109644700</v>
      </c>
      <c r="T144" s="4">
        <v>1139076600</v>
      </c>
      <c r="U144" s="4">
        <v>1311987300</v>
      </c>
      <c r="V144" s="4">
        <v>1256095000</v>
      </c>
      <c r="W144" s="4">
        <v>1364996750</v>
      </c>
      <c r="X144" s="4">
        <v>1377348000</v>
      </c>
      <c r="Y144" s="4">
        <v>1397112550</v>
      </c>
      <c r="Z144" s="4">
        <v>1276416200</v>
      </c>
      <c r="AA144" s="4">
        <v>1391136600</v>
      </c>
      <c r="AB144" s="4">
        <v>1320378850</v>
      </c>
      <c r="AC144" s="4">
        <v>1586126800</v>
      </c>
      <c r="AD144" s="4">
        <v>1678198300</v>
      </c>
      <c r="AE144" s="4">
        <v>1287495600</v>
      </c>
      <c r="AF144" s="4">
        <v>1632792100</v>
      </c>
      <c r="AG144" s="4">
        <v>1244140800</v>
      </c>
      <c r="AH144" s="4">
        <v>1391049800</v>
      </c>
      <c r="AI144" s="4">
        <v>1285020550</v>
      </c>
      <c r="AJ144" s="4">
        <v>1348107650</v>
      </c>
      <c r="AK144" s="4">
        <v>1684426700</v>
      </c>
      <c r="AL144" s="4">
        <v>1388411800</v>
      </c>
      <c r="AM144" s="4">
        <v>1509300800</v>
      </c>
      <c r="AN144" s="4">
        <v>1425312900</v>
      </c>
      <c r="AO144" s="4">
        <v>1658323650</v>
      </c>
      <c r="AP144" s="4">
        <v>1785288700</v>
      </c>
      <c r="AQ144" s="4">
        <v>1316657100</v>
      </c>
      <c r="AR144" s="4">
        <v>1420445600</v>
      </c>
      <c r="AS144" s="4">
        <v>1534411600</v>
      </c>
      <c r="AT144" s="4">
        <v>1358152200</v>
      </c>
      <c r="AU144" s="4">
        <v>1599397600</v>
      </c>
      <c r="AV144" s="4">
        <v>1614059050</v>
      </c>
      <c r="AW144" s="4">
        <v>1606194200</v>
      </c>
      <c r="AX144" s="4">
        <v>1450118300</v>
      </c>
      <c r="AY144" s="4">
        <v>1558421600</v>
      </c>
      <c r="AZ144" s="4">
        <v>1500476100</v>
      </c>
      <c r="BA144" s="4">
        <v>1773492200</v>
      </c>
      <c r="BB144" s="4">
        <v>1829564100</v>
      </c>
      <c r="BC144" s="4">
        <v>1287506650</v>
      </c>
      <c r="BD144" s="4">
        <v>1562051900</v>
      </c>
      <c r="BE144" s="4">
        <v>1523962200</v>
      </c>
      <c r="BF144" s="4">
        <v>1431515450</v>
      </c>
      <c r="BG144" s="4">
        <v>1517011900</v>
      </c>
      <c r="BH144" s="4">
        <v>1685058200</v>
      </c>
      <c r="BI144" s="4">
        <v>1707068800</v>
      </c>
      <c r="BJ144" s="4">
        <v>1513722200</v>
      </c>
      <c r="BK144" s="4">
        <v>1687263000</v>
      </c>
      <c r="BL144" s="4">
        <v>1565602600</v>
      </c>
      <c r="BM144" s="4">
        <v>1798597650</v>
      </c>
    </row>
    <row r="145" spans="1:65" x14ac:dyDescent="0.25">
      <c r="A145" s="1">
        <v>6</v>
      </c>
      <c r="B145" s="1">
        <f>VLOOKUP(E145,'[2]Peajes (1)'!$A:$D,4,0)</f>
        <v>3870</v>
      </c>
      <c r="C145" s="3" t="s">
        <v>4</v>
      </c>
      <c r="D145" s="3" t="s">
        <v>5</v>
      </c>
      <c r="E145" s="3" t="s">
        <v>11</v>
      </c>
      <c r="F145" s="4">
        <v>1205711000</v>
      </c>
      <c r="G145" s="4">
        <v>1034625000</v>
      </c>
      <c r="H145" s="4">
        <v>1142063150</v>
      </c>
      <c r="I145" s="4">
        <v>1138920800</v>
      </c>
      <c r="J145" s="4">
        <v>1201034000</v>
      </c>
      <c r="K145" s="4">
        <v>1125628000</v>
      </c>
      <c r="L145" s="4">
        <v>1233613900</v>
      </c>
      <c r="M145" s="4">
        <v>1216605100</v>
      </c>
      <c r="N145" s="4">
        <v>1189108300</v>
      </c>
      <c r="O145" s="4">
        <v>1286743800</v>
      </c>
      <c r="P145" s="4">
        <v>1224019450</v>
      </c>
      <c r="Q145" s="4">
        <v>1248678200</v>
      </c>
      <c r="R145" s="4">
        <v>1384247500</v>
      </c>
      <c r="S145" s="4">
        <v>1172300800</v>
      </c>
      <c r="T145" s="4">
        <v>1085539050</v>
      </c>
      <c r="U145" s="4">
        <v>1252166750</v>
      </c>
      <c r="V145" s="4">
        <v>1235950500</v>
      </c>
      <c r="W145" s="4">
        <v>1226242500</v>
      </c>
      <c r="X145" s="4">
        <v>1365940250</v>
      </c>
      <c r="Y145" s="4">
        <v>1350154950</v>
      </c>
      <c r="Z145" s="4">
        <v>1393617500</v>
      </c>
      <c r="AA145" s="4">
        <v>1482769600</v>
      </c>
      <c r="AB145" s="4">
        <v>1453846100</v>
      </c>
      <c r="AC145" s="4">
        <v>1478692900</v>
      </c>
      <c r="AD145" s="4">
        <v>1637781500</v>
      </c>
      <c r="AE145" s="4">
        <v>1410076200</v>
      </c>
      <c r="AF145" s="4">
        <v>1499270100</v>
      </c>
      <c r="AG145" s="4">
        <v>1404723650</v>
      </c>
      <c r="AH145" s="4">
        <v>1447546650</v>
      </c>
      <c r="AI145" s="4">
        <v>1196914350</v>
      </c>
      <c r="AJ145" s="4">
        <v>1282530800</v>
      </c>
      <c r="AK145" s="4">
        <v>2310237250</v>
      </c>
      <c r="AL145" s="4">
        <v>2375926800</v>
      </c>
      <c r="AM145" s="4">
        <v>1667083700</v>
      </c>
      <c r="AN145" s="4">
        <v>1577941100</v>
      </c>
      <c r="AO145" s="4">
        <v>1669372750</v>
      </c>
      <c r="AP145" s="4">
        <v>1789732300</v>
      </c>
      <c r="AQ145" s="4">
        <v>1531048400</v>
      </c>
      <c r="AR145" s="4">
        <v>1576521200</v>
      </c>
      <c r="AS145" s="4">
        <v>1543931150</v>
      </c>
      <c r="AT145" s="4">
        <v>1512758750</v>
      </c>
      <c r="AU145" s="4">
        <v>1609667600</v>
      </c>
      <c r="AV145" s="4">
        <v>1654451450</v>
      </c>
      <c r="AW145" s="4">
        <v>1660976750</v>
      </c>
      <c r="AX145" s="4">
        <v>1570024600</v>
      </c>
      <c r="AY145" s="4">
        <v>1615785800</v>
      </c>
      <c r="AZ145" s="4">
        <v>1550312100</v>
      </c>
      <c r="BA145" s="4">
        <v>1770101450</v>
      </c>
      <c r="BB145" s="4">
        <v>1549008250</v>
      </c>
      <c r="BC145" s="4">
        <v>964530100</v>
      </c>
      <c r="BD145" s="4">
        <v>1106480800</v>
      </c>
      <c r="BE145" s="4">
        <v>1276506800</v>
      </c>
      <c r="BF145" s="4">
        <v>1276728900</v>
      </c>
      <c r="BG145" s="4">
        <v>1051015050</v>
      </c>
      <c r="BH145" s="4">
        <v>1294944100</v>
      </c>
      <c r="BI145" s="4">
        <v>1314480900</v>
      </c>
      <c r="BJ145" s="4">
        <v>1246789200</v>
      </c>
      <c r="BK145" s="4">
        <v>1311233900</v>
      </c>
      <c r="BL145" s="4">
        <v>1248609900</v>
      </c>
      <c r="BM145" s="4">
        <v>1382736100</v>
      </c>
    </row>
    <row r="146" spans="1:65" x14ac:dyDescent="0.25">
      <c r="A146" s="1">
        <v>7</v>
      </c>
      <c r="B146" s="1">
        <f>VLOOKUP(E146,'[2]Peajes (1)'!$A:$D,4,0)</f>
        <v>3897</v>
      </c>
      <c r="C146" s="3" t="s">
        <v>4</v>
      </c>
      <c r="D146" s="3" t="s">
        <v>5</v>
      </c>
      <c r="E146" s="3" t="s">
        <v>12</v>
      </c>
      <c r="F146" s="4">
        <v>2763109750</v>
      </c>
      <c r="G146" s="4">
        <v>2106244400</v>
      </c>
      <c r="H146" s="4">
        <v>2361234900</v>
      </c>
      <c r="I146" s="4">
        <v>2524719800</v>
      </c>
      <c r="J146" s="4">
        <v>2400756600</v>
      </c>
      <c r="K146" s="4">
        <v>2476171200</v>
      </c>
      <c r="L146" s="4">
        <v>2566993400</v>
      </c>
      <c r="M146" s="4">
        <v>2634992900</v>
      </c>
      <c r="N146" s="4">
        <v>2384637600</v>
      </c>
      <c r="O146" s="4">
        <v>2653847900</v>
      </c>
      <c r="P146" s="4">
        <v>2601598600</v>
      </c>
      <c r="Q146" s="4">
        <v>3057689550</v>
      </c>
      <c r="R146" s="4">
        <v>3139483150</v>
      </c>
      <c r="S146" s="4">
        <v>2311506600</v>
      </c>
      <c r="T146" s="4">
        <v>2534641950</v>
      </c>
      <c r="U146" s="4">
        <v>2710255250</v>
      </c>
      <c r="V146" s="4">
        <v>2720034550</v>
      </c>
      <c r="W146" s="4">
        <v>2863285900</v>
      </c>
      <c r="X146" s="4">
        <v>2892854300</v>
      </c>
      <c r="Y146" s="4">
        <v>2887571300</v>
      </c>
      <c r="Z146" s="4">
        <v>2620314300</v>
      </c>
      <c r="AA146" s="4">
        <v>2814586250</v>
      </c>
      <c r="AB146" s="4">
        <v>2719349600</v>
      </c>
      <c r="AC146" s="4">
        <v>3320665950</v>
      </c>
      <c r="AD146" s="4">
        <v>3521795900</v>
      </c>
      <c r="AE146" s="4">
        <v>2663009200</v>
      </c>
      <c r="AF146" s="4">
        <v>3156702300</v>
      </c>
      <c r="AG146" s="4">
        <v>2708495250</v>
      </c>
      <c r="AH146" s="4">
        <v>2958221050</v>
      </c>
      <c r="AI146" s="4">
        <v>2823149200</v>
      </c>
      <c r="AJ146" s="4">
        <v>2949938150</v>
      </c>
      <c r="AK146" s="4">
        <v>2600775650</v>
      </c>
      <c r="AL146" s="4">
        <v>2012433900</v>
      </c>
      <c r="AM146" s="4">
        <v>3006125300</v>
      </c>
      <c r="AN146" s="4">
        <v>2907604150</v>
      </c>
      <c r="AO146" s="4">
        <v>3429870700</v>
      </c>
      <c r="AP146" s="4">
        <v>3669685950</v>
      </c>
      <c r="AQ146" s="4">
        <v>2655409200</v>
      </c>
      <c r="AR146" s="4">
        <v>2946650650</v>
      </c>
      <c r="AS146" s="4">
        <v>3127333550</v>
      </c>
      <c r="AT146" s="4">
        <v>2987355700</v>
      </c>
      <c r="AU146" s="4">
        <v>3237537600</v>
      </c>
      <c r="AV146" s="4">
        <v>3329230400</v>
      </c>
      <c r="AW146" s="4">
        <v>3267919850</v>
      </c>
      <c r="AX146" s="4">
        <v>2987020400</v>
      </c>
      <c r="AY146" s="4">
        <v>3260987400</v>
      </c>
      <c r="AZ146" s="4">
        <v>3260122000</v>
      </c>
      <c r="BA146" s="4">
        <v>3762435000</v>
      </c>
      <c r="BB146" s="4">
        <v>3501973950</v>
      </c>
      <c r="BC146" s="4">
        <v>2137592750</v>
      </c>
      <c r="BD146" s="4">
        <v>3021752850</v>
      </c>
      <c r="BE146" s="4">
        <v>2986138950</v>
      </c>
      <c r="BF146" s="4">
        <v>2962921000</v>
      </c>
      <c r="BG146" s="4">
        <v>2630667350</v>
      </c>
      <c r="BH146" s="4">
        <v>3309310900</v>
      </c>
      <c r="BI146" s="4">
        <v>3265496920</v>
      </c>
      <c r="BJ146" s="4">
        <v>2951339550</v>
      </c>
      <c r="BK146" s="4">
        <v>3192714200</v>
      </c>
      <c r="BL146" s="4">
        <v>3099873450</v>
      </c>
      <c r="BM146" s="4">
        <v>3741410950</v>
      </c>
    </row>
    <row r="147" spans="1:65" x14ac:dyDescent="0.25">
      <c r="A147" s="1">
        <v>89</v>
      </c>
      <c r="B147" s="1">
        <f>VLOOKUP(E147,'[2]Peajes (1)'!$A:$D,4,0)</f>
        <v>3916</v>
      </c>
      <c r="C147" s="3" t="s">
        <v>121</v>
      </c>
      <c r="D147" s="3" t="s">
        <v>122</v>
      </c>
      <c r="E147" s="3" t="s">
        <v>127</v>
      </c>
      <c r="F147" s="4">
        <v>2329478250</v>
      </c>
      <c r="G147" s="4">
        <v>1809401300</v>
      </c>
      <c r="H147" s="4">
        <v>1846434800</v>
      </c>
      <c r="I147" s="4">
        <v>2051126400</v>
      </c>
      <c r="J147" s="4">
        <v>1982480050</v>
      </c>
      <c r="K147" s="4">
        <v>2009210400</v>
      </c>
      <c r="L147" s="4">
        <v>2155864750</v>
      </c>
      <c r="M147" s="4">
        <v>1919756450</v>
      </c>
      <c r="N147" s="4">
        <v>1860319650</v>
      </c>
      <c r="O147" s="4">
        <v>2053206700</v>
      </c>
      <c r="P147" s="4">
        <v>1960047200</v>
      </c>
      <c r="Q147" s="4">
        <v>2030795550</v>
      </c>
      <c r="R147" s="4">
        <v>2264921100</v>
      </c>
      <c r="S147" s="4">
        <v>1910508500</v>
      </c>
      <c r="T147" s="4">
        <v>2103309050</v>
      </c>
      <c r="U147" s="4">
        <v>2085062400</v>
      </c>
      <c r="V147" s="4">
        <v>2056968500</v>
      </c>
      <c r="W147" s="4">
        <v>2025290850</v>
      </c>
      <c r="X147" s="4">
        <v>2233831250</v>
      </c>
      <c r="Y147" s="4">
        <v>2166103350</v>
      </c>
      <c r="Z147" s="4">
        <v>2104233400</v>
      </c>
      <c r="AA147" s="4">
        <v>2288674750</v>
      </c>
      <c r="AB147" s="4">
        <v>2126277150</v>
      </c>
      <c r="AC147" s="4">
        <v>2286945100</v>
      </c>
      <c r="AD147" s="4">
        <v>2513234850</v>
      </c>
      <c r="AE147" s="4">
        <v>1927805250</v>
      </c>
      <c r="AF147" s="4">
        <v>2181138700</v>
      </c>
      <c r="AG147" s="4">
        <v>2052236300</v>
      </c>
      <c r="AH147" s="4">
        <v>2248187650</v>
      </c>
      <c r="AI147" s="4">
        <v>2235581050</v>
      </c>
      <c r="AJ147" s="4">
        <v>2096408800</v>
      </c>
      <c r="AK147" s="4">
        <v>2400712450</v>
      </c>
      <c r="AL147" s="4">
        <v>2266356900</v>
      </c>
      <c r="AM147" s="4">
        <v>2350515400</v>
      </c>
      <c r="AN147" s="4">
        <v>2295433450</v>
      </c>
      <c r="AO147" s="4">
        <v>2568060400</v>
      </c>
      <c r="AP147" s="4">
        <v>2908323900</v>
      </c>
      <c r="AQ147" s="4">
        <v>2267500700</v>
      </c>
      <c r="AR147" s="4">
        <v>2493734500</v>
      </c>
      <c r="AS147" s="4">
        <v>2533760500</v>
      </c>
      <c r="AT147" s="4">
        <v>2485008200</v>
      </c>
      <c r="AU147" s="4">
        <v>2485354700</v>
      </c>
      <c r="AV147" s="4">
        <v>2464377300</v>
      </c>
      <c r="AW147" s="4">
        <v>2490265200</v>
      </c>
      <c r="AX147" s="4">
        <v>2435201200</v>
      </c>
      <c r="AY147" s="4">
        <v>2626916650</v>
      </c>
      <c r="AZ147" s="4">
        <v>2497168550</v>
      </c>
      <c r="BA147" s="4">
        <v>2798237000</v>
      </c>
      <c r="BB147" s="4">
        <v>3185983800</v>
      </c>
      <c r="BC147" s="4">
        <v>2406402000</v>
      </c>
      <c r="BD147" s="4">
        <v>2813943000</v>
      </c>
      <c r="BE147" s="4">
        <v>2903364300</v>
      </c>
      <c r="BF147" s="4">
        <v>2842598700</v>
      </c>
      <c r="BG147" s="4">
        <v>2832306700</v>
      </c>
      <c r="BH147" s="4">
        <v>2860446100</v>
      </c>
      <c r="BI147" s="4">
        <v>2753022200</v>
      </c>
      <c r="BJ147" s="4">
        <v>2693130700</v>
      </c>
      <c r="BK147" s="4">
        <v>2858337200</v>
      </c>
      <c r="BL147" s="4">
        <v>2759153800</v>
      </c>
      <c r="BM147" s="4">
        <v>3002839300</v>
      </c>
    </row>
    <row r="148" spans="1:65" x14ac:dyDescent="0.25">
      <c r="A148" s="1">
        <v>45</v>
      </c>
      <c r="B148" s="1">
        <f>VLOOKUP(E148,'[2]Peajes (1)'!$A:$D,4,0)</f>
        <v>4805</v>
      </c>
      <c r="C148" s="3" t="s">
        <v>59</v>
      </c>
      <c r="D148" s="3" t="s">
        <v>60</v>
      </c>
      <c r="E148" s="3" t="s">
        <v>68</v>
      </c>
      <c r="F148" s="4">
        <v>1760892500</v>
      </c>
      <c r="G148" s="4">
        <v>1492819600</v>
      </c>
      <c r="H148" s="4">
        <v>1589835200</v>
      </c>
      <c r="I148" s="4">
        <v>1719390300</v>
      </c>
      <c r="J148" s="4">
        <v>1554681900</v>
      </c>
      <c r="K148" s="4">
        <v>1640741100</v>
      </c>
      <c r="L148" s="4">
        <v>1788639400</v>
      </c>
      <c r="M148" s="4">
        <v>1770181100</v>
      </c>
      <c r="N148" s="4">
        <v>1626650800</v>
      </c>
      <c r="O148" s="4">
        <v>1783465200</v>
      </c>
      <c r="P148" s="4">
        <v>1744098050</v>
      </c>
      <c r="Q148" s="4">
        <v>1960670700</v>
      </c>
      <c r="R148" s="4">
        <v>1929216100</v>
      </c>
      <c r="S148" s="4">
        <v>1590863300</v>
      </c>
      <c r="T148" s="4">
        <v>1659670900</v>
      </c>
      <c r="U148" s="4">
        <v>1933885900</v>
      </c>
      <c r="V148" s="4">
        <v>1863676900</v>
      </c>
      <c r="W148" s="4">
        <v>1861016600</v>
      </c>
      <c r="X148" s="4">
        <v>2002042350</v>
      </c>
      <c r="Y148" s="4">
        <v>2001248050</v>
      </c>
      <c r="Z148" s="4">
        <v>1849961100</v>
      </c>
      <c r="AA148" s="4">
        <v>1971126900</v>
      </c>
      <c r="AB148" s="4">
        <v>1953552650</v>
      </c>
      <c r="AC148" s="4">
        <v>2265747800</v>
      </c>
      <c r="AD148" s="4">
        <v>2281270900</v>
      </c>
      <c r="AE148" s="4">
        <v>1967118300</v>
      </c>
      <c r="AF148" s="4">
        <v>2305675800</v>
      </c>
      <c r="AG148" s="4">
        <v>1988033000</v>
      </c>
      <c r="AH148" s="4">
        <v>2111622100</v>
      </c>
      <c r="AI148" s="4">
        <v>1358423100</v>
      </c>
      <c r="AJ148" s="4">
        <v>2040237900</v>
      </c>
      <c r="AK148" s="4">
        <v>2430319800</v>
      </c>
      <c r="AL148" s="4">
        <v>2113931150</v>
      </c>
      <c r="AM148" s="4">
        <v>2209695700</v>
      </c>
      <c r="AN148" s="4">
        <v>2231469450</v>
      </c>
      <c r="AO148" s="4">
        <v>2503449600</v>
      </c>
      <c r="AP148" s="4">
        <v>2488709950</v>
      </c>
      <c r="AQ148" s="4">
        <v>2047484100</v>
      </c>
      <c r="AR148" s="4">
        <v>2188276350</v>
      </c>
      <c r="AS148" s="4">
        <v>2377006000</v>
      </c>
      <c r="AT148" s="4">
        <v>2209181000</v>
      </c>
      <c r="AU148" s="4">
        <v>2341211100</v>
      </c>
      <c r="AV148" s="4">
        <v>2544124600</v>
      </c>
      <c r="AW148" s="4">
        <v>2493916400</v>
      </c>
      <c r="AX148" s="4">
        <v>2306203500</v>
      </c>
      <c r="AY148" s="4">
        <v>2333679750</v>
      </c>
      <c r="AZ148" s="4">
        <v>2065749300</v>
      </c>
      <c r="BA148" s="4">
        <v>2715139700</v>
      </c>
      <c r="BB148" s="4">
        <v>2706814200</v>
      </c>
      <c r="BC148" s="4">
        <v>2186328400</v>
      </c>
      <c r="BD148" s="4">
        <v>2611886750</v>
      </c>
      <c r="BE148" s="4">
        <v>2445795550</v>
      </c>
      <c r="BF148" s="4">
        <v>2381986600</v>
      </c>
      <c r="BG148" s="4">
        <v>2457925500</v>
      </c>
      <c r="BH148" s="4">
        <v>2696347300</v>
      </c>
      <c r="BI148" s="4">
        <v>2640026200</v>
      </c>
      <c r="BJ148" s="4">
        <v>2456653400</v>
      </c>
      <c r="BK148" s="4">
        <v>2613248400</v>
      </c>
      <c r="BL148" s="4">
        <v>0</v>
      </c>
      <c r="BM148" s="4">
        <v>0</v>
      </c>
    </row>
    <row r="149" spans="1:65" x14ac:dyDescent="0.25">
      <c r="A149" s="1">
        <v>76</v>
      </c>
      <c r="B149" s="1">
        <f>VLOOKUP(E149,'[2]Peajes (1)'!$A:$D,4,0)</f>
        <v>3883</v>
      </c>
      <c r="C149" s="3" t="s">
        <v>100</v>
      </c>
      <c r="D149" s="3" t="s">
        <v>101</v>
      </c>
      <c r="E149" s="3" t="s">
        <v>108</v>
      </c>
      <c r="F149" s="4">
        <v>1082524900</v>
      </c>
      <c r="G149" s="4">
        <v>972462500</v>
      </c>
      <c r="H149" s="4">
        <v>1072396500</v>
      </c>
      <c r="I149" s="4">
        <v>1022692450</v>
      </c>
      <c r="J149" s="4">
        <v>1048934800</v>
      </c>
      <c r="K149" s="4">
        <v>987355100</v>
      </c>
      <c r="L149" s="4">
        <v>1050013600</v>
      </c>
      <c r="M149" s="4">
        <v>1031858100</v>
      </c>
      <c r="N149" s="4">
        <v>1004336000</v>
      </c>
      <c r="O149" s="4">
        <v>1026544650</v>
      </c>
      <c r="P149" s="4">
        <v>979529900</v>
      </c>
      <c r="Q149" s="4">
        <v>1137091800</v>
      </c>
      <c r="R149" s="4">
        <v>1163620000</v>
      </c>
      <c r="S149" s="4">
        <v>1050168100</v>
      </c>
      <c r="T149" s="4">
        <v>1186702800</v>
      </c>
      <c r="U149" s="4">
        <v>1127621900</v>
      </c>
      <c r="V149" s="4">
        <v>1179765000</v>
      </c>
      <c r="W149" s="4">
        <v>1097380300</v>
      </c>
      <c r="X149" s="4">
        <v>1184012500</v>
      </c>
      <c r="Y149" s="4">
        <v>1177404300</v>
      </c>
      <c r="Z149" s="4">
        <v>1140956600</v>
      </c>
      <c r="AA149" s="4">
        <v>1194506500</v>
      </c>
      <c r="AB149" s="4">
        <v>1128795500</v>
      </c>
      <c r="AC149" s="4">
        <v>1288720700</v>
      </c>
      <c r="AD149" s="4">
        <v>1362975000</v>
      </c>
      <c r="AE149" s="4">
        <v>1298356600</v>
      </c>
      <c r="AF149" s="4">
        <v>1382575400</v>
      </c>
      <c r="AG149" s="4">
        <v>1316242400</v>
      </c>
      <c r="AH149" s="4">
        <v>1350494200</v>
      </c>
      <c r="AI149" s="4">
        <v>1306161800</v>
      </c>
      <c r="AJ149" s="4">
        <v>1374817400</v>
      </c>
      <c r="AK149" s="4">
        <v>1378867100</v>
      </c>
      <c r="AL149" s="4">
        <v>1352899300</v>
      </c>
      <c r="AM149" s="4">
        <v>1338769400</v>
      </c>
      <c r="AN149" s="4">
        <v>1277740200</v>
      </c>
      <c r="AO149" s="4">
        <v>1477674500</v>
      </c>
      <c r="AP149" s="4">
        <v>1505414800</v>
      </c>
      <c r="AQ149" s="4">
        <v>1373995500</v>
      </c>
      <c r="AR149" s="4">
        <v>1614141800</v>
      </c>
      <c r="AS149" s="4">
        <v>1563383700</v>
      </c>
      <c r="AT149" s="4">
        <v>1609729100</v>
      </c>
      <c r="AU149" s="4">
        <v>1580366800</v>
      </c>
      <c r="AV149" s="4">
        <v>1666454450</v>
      </c>
      <c r="AW149" s="4">
        <v>1674301000</v>
      </c>
      <c r="AX149" s="4">
        <v>1573218600</v>
      </c>
      <c r="AY149" s="4">
        <v>1651504900</v>
      </c>
      <c r="AZ149" s="4">
        <v>1536770400</v>
      </c>
      <c r="BA149" s="4">
        <v>1760804100</v>
      </c>
      <c r="BB149" s="4">
        <v>1698419200</v>
      </c>
      <c r="BC149" s="4">
        <v>1621135700</v>
      </c>
      <c r="BD149" s="4">
        <v>1828402700</v>
      </c>
      <c r="BE149" s="4">
        <v>1775466750</v>
      </c>
      <c r="BF149" s="4">
        <v>1786483600</v>
      </c>
      <c r="BG149" s="4">
        <v>1723735650</v>
      </c>
      <c r="BH149" s="4">
        <v>1828610600</v>
      </c>
      <c r="BI149" s="4">
        <v>1849901100</v>
      </c>
      <c r="BJ149" s="4">
        <v>1792488700</v>
      </c>
      <c r="BK149" s="4">
        <v>1840293000</v>
      </c>
      <c r="BL149" s="4">
        <v>1723673900</v>
      </c>
      <c r="BM149" s="4">
        <v>1957579900</v>
      </c>
    </row>
    <row r="150" spans="1:65" x14ac:dyDescent="0.25">
      <c r="A150" s="1">
        <v>54</v>
      </c>
      <c r="B150" s="1">
        <f>VLOOKUP(E150,'[2]Peajes (1)'!$A:$D,4,0)</f>
        <v>3813</v>
      </c>
      <c r="C150" s="3" t="s">
        <v>79</v>
      </c>
      <c r="D150" s="3" t="s">
        <v>80</v>
      </c>
      <c r="E150" s="3" t="s">
        <v>83</v>
      </c>
      <c r="F150" s="4">
        <v>3006863500</v>
      </c>
      <c r="G150" s="4">
        <v>2498618900</v>
      </c>
      <c r="H150" s="4">
        <v>2761710000</v>
      </c>
      <c r="I150" s="4">
        <v>2670218500</v>
      </c>
      <c r="J150" s="4">
        <v>2481266500</v>
      </c>
      <c r="K150" s="4">
        <v>2747504900</v>
      </c>
      <c r="L150" s="4">
        <v>2791028700</v>
      </c>
      <c r="M150" s="4">
        <v>2825255400</v>
      </c>
      <c r="N150" s="4">
        <v>2653792300</v>
      </c>
      <c r="O150" s="4">
        <v>2878051400</v>
      </c>
      <c r="P150" s="4">
        <v>2762020900</v>
      </c>
      <c r="Q150" s="4">
        <v>3369624000</v>
      </c>
      <c r="R150" s="4">
        <v>3309613100</v>
      </c>
      <c r="S150" s="4">
        <v>2695045700</v>
      </c>
      <c r="T150" s="4">
        <v>2739745400</v>
      </c>
      <c r="U150" s="4">
        <v>3001577600</v>
      </c>
      <c r="V150" s="4">
        <v>3127617300</v>
      </c>
      <c r="W150" s="4">
        <v>3158286800</v>
      </c>
      <c r="X150" s="4">
        <v>3137361200</v>
      </c>
      <c r="Y150" s="4">
        <v>3079540600</v>
      </c>
      <c r="Z150" s="4">
        <v>2949673100</v>
      </c>
      <c r="AA150" s="4">
        <v>3236314800</v>
      </c>
      <c r="AB150" s="4">
        <v>3125875400</v>
      </c>
      <c r="AC150" s="4">
        <v>3801577000</v>
      </c>
      <c r="AD150" s="4">
        <v>3607602450</v>
      </c>
      <c r="AE150" s="4">
        <v>3028308850</v>
      </c>
      <c r="AF150" s="4">
        <v>3487426750</v>
      </c>
      <c r="AG150" s="4">
        <v>3072710950</v>
      </c>
      <c r="AH150" s="4">
        <v>3322622800</v>
      </c>
      <c r="AI150" s="4">
        <v>3009448600</v>
      </c>
      <c r="AJ150" s="4">
        <v>2421732450</v>
      </c>
      <c r="AK150" s="4">
        <v>3504303700</v>
      </c>
      <c r="AL150" s="4">
        <v>3205362250</v>
      </c>
      <c r="AM150" s="4">
        <v>3472621250</v>
      </c>
      <c r="AN150" s="4">
        <v>3349683200</v>
      </c>
      <c r="AO150" s="4">
        <v>4060452300</v>
      </c>
      <c r="AP150" s="4">
        <v>3832318000</v>
      </c>
      <c r="AQ150" s="4">
        <v>3272603250</v>
      </c>
      <c r="AR150" s="4">
        <v>3579228000</v>
      </c>
      <c r="AS150" s="4">
        <v>3613223750</v>
      </c>
      <c r="AT150" s="4">
        <v>3604455450</v>
      </c>
      <c r="AU150" s="4">
        <v>3610753500</v>
      </c>
      <c r="AV150" s="4">
        <v>3774607150</v>
      </c>
      <c r="AW150" s="4">
        <v>3729970500</v>
      </c>
      <c r="AX150" s="4">
        <v>3483741950</v>
      </c>
      <c r="AY150" s="4">
        <v>3827347600</v>
      </c>
      <c r="AZ150" s="4">
        <v>3743580650</v>
      </c>
      <c r="BA150" s="4">
        <v>4568266900</v>
      </c>
      <c r="BB150" s="4">
        <v>4342322050</v>
      </c>
      <c r="BC150" s="4">
        <v>3501283150</v>
      </c>
      <c r="BD150" s="4">
        <v>3986007200</v>
      </c>
      <c r="BE150" s="4">
        <v>3722909750</v>
      </c>
      <c r="BF150" s="4">
        <v>3880672950</v>
      </c>
      <c r="BG150" s="4">
        <v>4010818850</v>
      </c>
      <c r="BH150" s="4">
        <v>4208486000</v>
      </c>
      <c r="BI150" s="4">
        <v>4247865100</v>
      </c>
      <c r="BJ150" s="4">
        <v>4037116050</v>
      </c>
      <c r="BK150" s="4">
        <v>4337500050</v>
      </c>
      <c r="BL150" s="4">
        <v>4274456100</v>
      </c>
      <c r="BM150" s="4">
        <v>5158733200</v>
      </c>
    </row>
    <row r="151" spans="1:65" s="10" customFormat="1" hidden="1" x14ac:dyDescent="0.25">
      <c r="A151" s="8">
        <v>19</v>
      </c>
      <c r="B151" s="1">
        <f>VLOOKUP(E151,'[2]Peajes (1)'!$A:$D,4,0)</f>
        <v>3860</v>
      </c>
      <c r="C151" s="8" t="s">
        <v>26</v>
      </c>
      <c r="D151" s="8" t="s">
        <v>27</v>
      </c>
      <c r="E151" s="8" t="s">
        <v>30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>
        <v>242948100</v>
      </c>
      <c r="AE151" s="11">
        <v>276457900</v>
      </c>
      <c r="AF151" s="11">
        <v>294362000</v>
      </c>
      <c r="AG151" s="11">
        <v>272935000</v>
      </c>
      <c r="AH151" s="11">
        <v>246158500</v>
      </c>
      <c r="AI151" s="11">
        <v>215512900</v>
      </c>
      <c r="AJ151" s="11">
        <v>221663900</v>
      </c>
      <c r="AK151" s="11">
        <v>288611000</v>
      </c>
      <c r="AL151" s="11">
        <v>205700900</v>
      </c>
      <c r="AM151" s="11">
        <v>227013800</v>
      </c>
      <c r="AN151" s="11">
        <v>248117400</v>
      </c>
      <c r="AO151" s="11">
        <v>260188600</v>
      </c>
      <c r="AP151" s="11">
        <v>239266200</v>
      </c>
      <c r="AQ151" s="11">
        <v>242626200</v>
      </c>
      <c r="AR151" s="11">
        <v>246624600</v>
      </c>
      <c r="AS151" s="11">
        <v>230210800</v>
      </c>
      <c r="AT151" s="11">
        <v>258539800</v>
      </c>
      <c r="AU151" s="11">
        <v>254195600</v>
      </c>
      <c r="AV151" s="11">
        <v>257840200</v>
      </c>
      <c r="AW151" s="11">
        <v>267898000</v>
      </c>
      <c r="AX151" s="11">
        <v>261798200</v>
      </c>
      <c r="AY151" s="11">
        <v>270894200</v>
      </c>
      <c r="AZ151" s="11">
        <v>270830000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</row>
    <row r="152" spans="1:65" s="10" customFormat="1" hidden="1" x14ac:dyDescent="0.25">
      <c r="A152" s="8">
        <v>114</v>
      </c>
      <c r="B152" s="1">
        <f>VLOOKUP(E152,'[2]Peajes (1)'!$A:$D,4,0)</f>
        <v>3860</v>
      </c>
      <c r="C152" s="8" t="s">
        <v>175</v>
      </c>
      <c r="D152" s="8" t="s">
        <v>176</v>
      </c>
      <c r="E152" s="8" t="s">
        <v>30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272751600</v>
      </c>
      <c r="BB152" s="11">
        <v>258902000</v>
      </c>
      <c r="BC152" s="11">
        <v>256477500</v>
      </c>
      <c r="BD152" s="11">
        <v>248942500</v>
      </c>
      <c r="BE152" s="11">
        <v>247617100</v>
      </c>
      <c r="BF152" s="11">
        <v>224652300</v>
      </c>
      <c r="BG152" s="11">
        <v>217527300</v>
      </c>
      <c r="BH152" s="11">
        <v>228199900</v>
      </c>
      <c r="BI152" s="11">
        <v>173183400</v>
      </c>
      <c r="BJ152" s="11">
        <v>157778100</v>
      </c>
      <c r="BK152" s="11">
        <v>181625800</v>
      </c>
      <c r="BL152" s="11">
        <v>193082000</v>
      </c>
      <c r="BM152" s="11">
        <v>185588800</v>
      </c>
    </row>
    <row r="153" spans="1:65" s="10" customFormat="1" x14ac:dyDescent="0.25">
      <c r="A153" s="8">
        <v>114</v>
      </c>
      <c r="B153" s="1">
        <f>VLOOKUP(E153,'[2]Peajes (1)'!$A:$D,4,0)</f>
        <v>3860</v>
      </c>
      <c r="C153" s="8" t="s">
        <v>175</v>
      </c>
      <c r="D153" s="8" t="s">
        <v>176</v>
      </c>
      <c r="E153" s="8" t="s">
        <v>30</v>
      </c>
      <c r="F153" s="11">
        <f>SUM(F151:F152)</f>
        <v>0</v>
      </c>
      <c r="G153" s="11">
        <f t="shared" ref="G153:BM153" si="60">SUM(G151:G152)</f>
        <v>0</v>
      </c>
      <c r="H153" s="11">
        <f t="shared" si="60"/>
        <v>0</v>
      </c>
      <c r="I153" s="11">
        <f t="shared" si="60"/>
        <v>0</v>
      </c>
      <c r="J153" s="11">
        <f t="shared" si="60"/>
        <v>0</v>
      </c>
      <c r="K153" s="11">
        <f t="shared" si="60"/>
        <v>0</v>
      </c>
      <c r="L153" s="11">
        <f t="shared" si="60"/>
        <v>0</v>
      </c>
      <c r="M153" s="11">
        <f t="shared" si="60"/>
        <v>0</v>
      </c>
      <c r="N153" s="11">
        <f t="shared" si="60"/>
        <v>0</v>
      </c>
      <c r="O153" s="11">
        <f t="shared" si="60"/>
        <v>0</v>
      </c>
      <c r="P153" s="11">
        <f t="shared" si="60"/>
        <v>0</v>
      </c>
      <c r="Q153" s="11">
        <f t="shared" si="60"/>
        <v>0</v>
      </c>
      <c r="R153" s="11">
        <f t="shared" si="60"/>
        <v>0</v>
      </c>
      <c r="S153" s="11">
        <f t="shared" si="60"/>
        <v>0</v>
      </c>
      <c r="T153" s="11">
        <f t="shared" si="60"/>
        <v>0</v>
      </c>
      <c r="U153" s="11">
        <f t="shared" si="60"/>
        <v>0</v>
      </c>
      <c r="V153" s="11">
        <f t="shared" si="60"/>
        <v>0</v>
      </c>
      <c r="W153" s="11">
        <f t="shared" si="60"/>
        <v>0</v>
      </c>
      <c r="X153" s="11">
        <f t="shared" si="60"/>
        <v>0</v>
      </c>
      <c r="Y153" s="11">
        <f t="shared" si="60"/>
        <v>0</v>
      </c>
      <c r="Z153" s="11">
        <f t="shared" si="60"/>
        <v>0</v>
      </c>
      <c r="AA153" s="11">
        <f t="shared" si="60"/>
        <v>0</v>
      </c>
      <c r="AB153" s="11">
        <f t="shared" si="60"/>
        <v>0</v>
      </c>
      <c r="AC153" s="11">
        <f t="shared" si="60"/>
        <v>0</v>
      </c>
      <c r="AD153" s="11">
        <f t="shared" si="60"/>
        <v>242948100</v>
      </c>
      <c r="AE153" s="11">
        <f t="shared" si="60"/>
        <v>276457900</v>
      </c>
      <c r="AF153" s="11">
        <f t="shared" si="60"/>
        <v>294362000</v>
      </c>
      <c r="AG153" s="11">
        <f t="shared" si="60"/>
        <v>272935000</v>
      </c>
      <c r="AH153" s="11">
        <f t="shared" si="60"/>
        <v>246158500</v>
      </c>
      <c r="AI153" s="11">
        <f t="shared" si="60"/>
        <v>215512900</v>
      </c>
      <c r="AJ153" s="11">
        <f t="shared" si="60"/>
        <v>221663900</v>
      </c>
      <c r="AK153" s="11">
        <f t="shared" si="60"/>
        <v>288611000</v>
      </c>
      <c r="AL153" s="11">
        <f t="shared" si="60"/>
        <v>205700900</v>
      </c>
      <c r="AM153" s="11">
        <f t="shared" si="60"/>
        <v>227013800</v>
      </c>
      <c r="AN153" s="11">
        <f t="shared" si="60"/>
        <v>248117400</v>
      </c>
      <c r="AO153" s="11">
        <f t="shared" si="60"/>
        <v>260188600</v>
      </c>
      <c r="AP153" s="11">
        <f t="shared" si="60"/>
        <v>239266200</v>
      </c>
      <c r="AQ153" s="11">
        <f t="shared" si="60"/>
        <v>242626200</v>
      </c>
      <c r="AR153" s="11">
        <f t="shared" si="60"/>
        <v>246624600</v>
      </c>
      <c r="AS153" s="11">
        <f t="shared" si="60"/>
        <v>230210800</v>
      </c>
      <c r="AT153" s="11">
        <f t="shared" si="60"/>
        <v>258539800</v>
      </c>
      <c r="AU153" s="11">
        <f t="shared" si="60"/>
        <v>254195600</v>
      </c>
      <c r="AV153" s="11">
        <f t="shared" si="60"/>
        <v>257840200</v>
      </c>
      <c r="AW153" s="11">
        <f t="shared" si="60"/>
        <v>267898000</v>
      </c>
      <c r="AX153" s="11">
        <f t="shared" si="60"/>
        <v>261798200</v>
      </c>
      <c r="AY153" s="11">
        <f t="shared" si="60"/>
        <v>270894200</v>
      </c>
      <c r="AZ153" s="11">
        <f t="shared" si="60"/>
        <v>270830000</v>
      </c>
      <c r="BA153" s="11">
        <f t="shared" si="60"/>
        <v>272751600</v>
      </c>
      <c r="BB153" s="11">
        <f t="shared" si="60"/>
        <v>258902000</v>
      </c>
      <c r="BC153" s="11">
        <f t="shared" si="60"/>
        <v>256477500</v>
      </c>
      <c r="BD153" s="11">
        <f t="shared" si="60"/>
        <v>248942500</v>
      </c>
      <c r="BE153" s="11">
        <f t="shared" si="60"/>
        <v>247617100</v>
      </c>
      <c r="BF153" s="11">
        <f t="shared" si="60"/>
        <v>224652300</v>
      </c>
      <c r="BG153" s="11">
        <f t="shared" si="60"/>
        <v>217527300</v>
      </c>
      <c r="BH153" s="11">
        <f t="shared" si="60"/>
        <v>228199900</v>
      </c>
      <c r="BI153" s="11">
        <f t="shared" si="60"/>
        <v>173183400</v>
      </c>
      <c r="BJ153" s="11">
        <f t="shared" si="60"/>
        <v>157778100</v>
      </c>
      <c r="BK153" s="11">
        <f t="shared" si="60"/>
        <v>181625800</v>
      </c>
      <c r="BL153" s="11">
        <f t="shared" si="60"/>
        <v>193082000</v>
      </c>
      <c r="BM153" s="11">
        <f t="shared" si="60"/>
        <v>185588800</v>
      </c>
    </row>
    <row r="154" spans="1:65" x14ac:dyDescent="0.25">
      <c r="A154" s="1">
        <v>90</v>
      </c>
      <c r="B154" s="1">
        <f>VLOOKUP(E154,'[2]Peajes (1)'!$A:$D,4,0)</f>
        <v>3798</v>
      </c>
      <c r="C154" s="3" t="s">
        <v>121</v>
      </c>
      <c r="D154" s="3" t="s">
        <v>122</v>
      </c>
      <c r="E154" s="3" t="s">
        <v>128</v>
      </c>
      <c r="F154" s="4">
        <v>769617000</v>
      </c>
      <c r="G154" s="4">
        <v>636984700</v>
      </c>
      <c r="H154" s="4">
        <v>669093600</v>
      </c>
      <c r="I154" s="4">
        <v>696165900</v>
      </c>
      <c r="J154" s="4">
        <v>683157100</v>
      </c>
      <c r="K154" s="4">
        <v>669060700</v>
      </c>
      <c r="L154" s="4">
        <v>706969200</v>
      </c>
      <c r="M154" s="4">
        <v>699555300</v>
      </c>
      <c r="N154" s="4">
        <v>654361300</v>
      </c>
      <c r="O154" s="4">
        <v>686918600</v>
      </c>
      <c r="P154" s="4">
        <v>678480100</v>
      </c>
      <c r="Q154" s="4">
        <v>764513900</v>
      </c>
      <c r="R154" s="4">
        <v>771715100</v>
      </c>
      <c r="S154" s="4">
        <v>646542700</v>
      </c>
      <c r="T154" s="4">
        <v>729195600</v>
      </c>
      <c r="U154" s="4">
        <v>760934600</v>
      </c>
      <c r="V154" s="4">
        <v>773338200</v>
      </c>
      <c r="W154" s="4">
        <v>759887200</v>
      </c>
      <c r="X154" s="4">
        <v>809809500</v>
      </c>
      <c r="Y154" s="4">
        <v>768213000</v>
      </c>
      <c r="Z154" s="4">
        <v>709545500</v>
      </c>
      <c r="AA154" s="4">
        <v>772799500</v>
      </c>
      <c r="AB154" s="4">
        <v>752143700</v>
      </c>
      <c r="AC154" s="4">
        <v>884089200</v>
      </c>
      <c r="AD154" s="4">
        <v>873931600</v>
      </c>
      <c r="AE154" s="4">
        <v>730116800</v>
      </c>
      <c r="AF154" s="4">
        <v>811270000</v>
      </c>
      <c r="AG154" s="4">
        <v>770638100</v>
      </c>
      <c r="AH154" s="4">
        <v>785178000</v>
      </c>
      <c r="AI154" s="4">
        <v>789758000</v>
      </c>
      <c r="AJ154" s="4">
        <v>832749400</v>
      </c>
      <c r="AK154" s="4">
        <v>808735600</v>
      </c>
      <c r="AL154" s="4">
        <v>768450700</v>
      </c>
      <c r="AM154" s="4">
        <v>811991850</v>
      </c>
      <c r="AN154" s="4">
        <v>801810000</v>
      </c>
      <c r="AO154" s="4">
        <v>934011300</v>
      </c>
      <c r="AP154" s="4">
        <v>915326100</v>
      </c>
      <c r="AQ154" s="4">
        <v>755449100</v>
      </c>
      <c r="AR154" s="4">
        <v>825184600</v>
      </c>
      <c r="AS154" s="4">
        <v>905116500</v>
      </c>
      <c r="AT154" s="4">
        <v>843864550</v>
      </c>
      <c r="AU154" s="4">
        <v>835607100</v>
      </c>
      <c r="AV154" s="4">
        <v>856197100</v>
      </c>
      <c r="AW154" s="4">
        <v>831606350</v>
      </c>
      <c r="AX154" s="4">
        <v>779484450</v>
      </c>
      <c r="AY154" s="4">
        <v>833289950</v>
      </c>
      <c r="AZ154" s="4">
        <v>816338000</v>
      </c>
      <c r="BA154" s="4">
        <v>977224200</v>
      </c>
      <c r="BB154" s="4">
        <v>971978650</v>
      </c>
      <c r="BC154" s="4">
        <v>765932550</v>
      </c>
      <c r="BD154" s="4">
        <v>894543600</v>
      </c>
      <c r="BE154" s="4">
        <v>930417350</v>
      </c>
      <c r="BF154" s="4">
        <v>877941550</v>
      </c>
      <c r="BG154" s="4">
        <v>881282450</v>
      </c>
      <c r="BH154" s="4">
        <v>930497200</v>
      </c>
      <c r="BI154" s="4">
        <v>886486800</v>
      </c>
      <c r="BJ154" s="4">
        <v>839408700</v>
      </c>
      <c r="BK154" s="4">
        <v>902214900</v>
      </c>
      <c r="BL154" s="4">
        <v>894156150</v>
      </c>
      <c r="BM154" s="4">
        <v>1050933450</v>
      </c>
    </row>
    <row r="155" spans="1:65" s="10" customFormat="1" hidden="1" x14ac:dyDescent="0.25">
      <c r="A155" s="8">
        <v>30</v>
      </c>
      <c r="B155" s="1">
        <f>VLOOKUP(E155,'[2]Peajes (1)'!$A:$D,4,0)</f>
        <v>3842</v>
      </c>
      <c r="C155" s="8" t="s">
        <v>41</v>
      </c>
      <c r="D155" s="8" t="s">
        <v>42</v>
      </c>
      <c r="E155" s="8" t="s">
        <v>47</v>
      </c>
      <c r="F155" s="11">
        <v>1105400600</v>
      </c>
      <c r="G155" s="11">
        <v>919029300</v>
      </c>
      <c r="H155" s="11">
        <v>1018724300</v>
      </c>
      <c r="I155" s="11">
        <v>978356900</v>
      </c>
      <c r="J155" s="11">
        <v>1038401100</v>
      </c>
      <c r="K155" s="11">
        <v>919984700</v>
      </c>
      <c r="L155" s="11">
        <v>1037225900</v>
      </c>
      <c r="M155" s="11">
        <v>1081842400</v>
      </c>
      <c r="N155" s="11">
        <v>1035912500</v>
      </c>
      <c r="O155" s="11">
        <v>983478000</v>
      </c>
      <c r="P155" s="11">
        <v>920871500</v>
      </c>
      <c r="Q155" s="11">
        <v>1038981800</v>
      </c>
      <c r="R155" s="11">
        <v>1017357050</v>
      </c>
      <c r="S155" s="11">
        <v>845963600</v>
      </c>
      <c r="T155" s="11">
        <v>938194200</v>
      </c>
      <c r="U155" s="11">
        <v>922907000</v>
      </c>
      <c r="V155" s="11">
        <v>922686300</v>
      </c>
      <c r="W155" s="11">
        <v>936315900</v>
      </c>
      <c r="X155" s="11">
        <v>1098230300</v>
      </c>
      <c r="Y155" s="11">
        <v>1080185800</v>
      </c>
      <c r="Z155" s="11">
        <v>299557000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</row>
    <row r="156" spans="1:65" s="10" customFormat="1" hidden="1" x14ac:dyDescent="0.25">
      <c r="A156" s="8">
        <v>151</v>
      </c>
      <c r="B156" s="1">
        <f>VLOOKUP(E156,'[2]Peajes (1)'!$A:$D,4,0)</f>
        <v>3842</v>
      </c>
      <c r="C156" s="8" t="s">
        <v>225</v>
      </c>
      <c r="D156" s="8" t="s">
        <v>226</v>
      </c>
      <c r="E156" s="8" t="s">
        <v>47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806827700</v>
      </c>
      <c r="AA156" s="11">
        <v>1035694600</v>
      </c>
      <c r="AB156" s="11">
        <v>1008070100</v>
      </c>
      <c r="AC156" s="11">
        <v>1047099200</v>
      </c>
      <c r="AD156" s="11">
        <v>1097955100</v>
      </c>
      <c r="AE156" s="11">
        <v>934127900</v>
      </c>
      <c r="AF156" s="11">
        <v>1001782900</v>
      </c>
      <c r="AG156" s="11">
        <v>942950050</v>
      </c>
      <c r="AH156" s="11">
        <v>876815700</v>
      </c>
      <c r="AI156" s="11">
        <v>878253200</v>
      </c>
      <c r="AJ156" s="11">
        <v>875353700</v>
      </c>
      <c r="AK156" s="11">
        <v>974551000</v>
      </c>
      <c r="AL156" s="11">
        <v>995121500</v>
      </c>
      <c r="AM156" s="11">
        <v>930642600</v>
      </c>
      <c r="AN156" s="11">
        <v>887067500</v>
      </c>
      <c r="AO156" s="11">
        <v>1012348900</v>
      </c>
      <c r="AP156" s="11">
        <v>1079100600</v>
      </c>
      <c r="AQ156" s="11">
        <v>907081800</v>
      </c>
      <c r="AR156" s="11">
        <v>1024438500</v>
      </c>
      <c r="AS156" s="11">
        <v>991422550</v>
      </c>
      <c r="AT156" s="11">
        <v>1024384200</v>
      </c>
      <c r="AU156" s="11">
        <v>989594700</v>
      </c>
      <c r="AV156" s="11">
        <v>958646200</v>
      </c>
      <c r="AW156" s="11">
        <v>1171445300</v>
      </c>
      <c r="AX156" s="11">
        <v>1157853550</v>
      </c>
      <c r="AY156" s="11">
        <v>1039565400</v>
      </c>
      <c r="AZ156" s="11">
        <v>998433100</v>
      </c>
      <c r="BA156" s="11">
        <v>1140910650</v>
      </c>
      <c r="BB156" s="11">
        <v>1175070600</v>
      </c>
      <c r="BC156" s="11">
        <v>941682900</v>
      </c>
      <c r="BD156" s="11">
        <v>1039665800</v>
      </c>
      <c r="BE156" s="11">
        <v>978738700</v>
      </c>
      <c r="BF156" s="11">
        <v>981480100</v>
      </c>
      <c r="BG156" s="11">
        <v>948246200</v>
      </c>
      <c r="BH156" s="11">
        <v>1067270700</v>
      </c>
      <c r="BI156" s="11">
        <v>1063520650</v>
      </c>
      <c r="BJ156" s="11">
        <v>1033928300</v>
      </c>
      <c r="BK156" s="11">
        <v>1052316700</v>
      </c>
      <c r="BL156" s="11">
        <v>1026232400</v>
      </c>
      <c r="BM156" s="11">
        <v>1125883600</v>
      </c>
    </row>
    <row r="157" spans="1:65" s="10" customFormat="1" x14ac:dyDescent="0.25">
      <c r="A157" s="8">
        <v>151</v>
      </c>
      <c r="B157" s="1">
        <f>VLOOKUP(E157,'[2]Peajes (1)'!$A:$D,4,0)</f>
        <v>3842</v>
      </c>
      <c r="C157" s="8" t="s">
        <v>225</v>
      </c>
      <c r="D157" s="8" t="s">
        <v>226</v>
      </c>
      <c r="E157" s="8" t="s">
        <v>47</v>
      </c>
      <c r="F157" s="11">
        <f>SUM(F155:F156)</f>
        <v>1105400600</v>
      </c>
      <c r="G157" s="11">
        <f t="shared" ref="G157:BM157" si="61">SUM(G155:G156)</f>
        <v>919029300</v>
      </c>
      <c r="H157" s="11">
        <f t="shared" si="61"/>
        <v>1018724300</v>
      </c>
      <c r="I157" s="11">
        <f t="shared" si="61"/>
        <v>978356900</v>
      </c>
      <c r="J157" s="11">
        <f t="shared" si="61"/>
        <v>1038401100</v>
      </c>
      <c r="K157" s="11">
        <f t="shared" si="61"/>
        <v>919984700</v>
      </c>
      <c r="L157" s="11">
        <f t="shared" si="61"/>
        <v>1037225900</v>
      </c>
      <c r="M157" s="11">
        <f t="shared" si="61"/>
        <v>1081842400</v>
      </c>
      <c r="N157" s="11">
        <f t="shared" si="61"/>
        <v>1035912500</v>
      </c>
      <c r="O157" s="11">
        <f t="shared" si="61"/>
        <v>983478000</v>
      </c>
      <c r="P157" s="11">
        <f t="shared" si="61"/>
        <v>920871500</v>
      </c>
      <c r="Q157" s="11">
        <f t="shared" si="61"/>
        <v>1038981800</v>
      </c>
      <c r="R157" s="11">
        <f t="shared" si="61"/>
        <v>1017357050</v>
      </c>
      <c r="S157" s="11">
        <f t="shared" si="61"/>
        <v>845963600</v>
      </c>
      <c r="T157" s="11">
        <f t="shared" si="61"/>
        <v>938194200</v>
      </c>
      <c r="U157" s="11">
        <f t="shared" si="61"/>
        <v>922907000</v>
      </c>
      <c r="V157" s="11">
        <f t="shared" si="61"/>
        <v>922686300</v>
      </c>
      <c r="W157" s="11">
        <f t="shared" si="61"/>
        <v>936315900</v>
      </c>
      <c r="X157" s="11">
        <f t="shared" si="61"/>
        <v>1098230300</v>
      </c>
      <c r="Y157" s="11">
        <f t="shared" si="61"/>
        <v>1080185800</v>
      </c>
      <c r="Z157" s="11">
        <f t="shared" si="61"/>
        <v>1106384700</v>
      </c>
      <c r="AA157" s="11">
        <f t="shared" si="61"/>
        <v>1035694600</v>
      </c>
      <c r="AB157" s="11">
        <f t="shared" si="61"/>
        <v>1008070100</v>
      </c>
      <c r="AC157" s="11">
        <f t="shared" si="61"/>
        <v>1047099200</v>
      </c>
      <c r="AD157" s="11">
        <f t="shared" si="61"/>
        <v>1097955100</v>
      </c>
      <c r="AE157" s="11">
        <f t="shared" si="61"/>
        <v>934127900</v>
      </c>
      <c r="AF157" s="11">
        <f t="shared" si="61"/>
        <v>1001782900</v>
      </c>
      <c r="AG157" s="11">
        <f t="shared" si="61"/>
        <v>942950050</v>
      </c>
      <c r="AH157" s="11">
        <f t="shared" si="61"/>
        <v>876815700</v>
      </c>
      <c r="AI157" s="11">
        <f t="shared" si="61"/>
        <v>878253200</v>
      </c>
      <c r="AJ157" s="11">
        <f t="shared" si="61"/>
        <v>875353700</v>
      </c>
      <c r="AK157" s="11">
        <f t="shared" si="61"/>
        <v>974551000</v>
      </c>
      <c r="AL157" s="11">
        <f t="shared" si="61"/>
        <v>995121500</v>
      </c>
      <c r="AM157" s="11">
        <f t="shared" si="61"/>
        <v>930642600</v>
      </c>
      <c r="AN157" s="11">
        <f t="shared" si="61"/>
        <v>887067500</v>
      </c>
      <c r="AO157" s="11">
        <f t="shared" si="61"/>
        <v>1012348900</v>
      </c>
      <c r="AP157" s="11">
        <f t="shared" si="61"/>
        <v>1079100600</v>
      </c>
      <c r="AQ157" s="11">
        <f t="shared" si="61"/>
        <v>907081800</v>
      </c>
      <c r="AR157" s="11">
        <f t="shared" si="61"/>
        <v>1024438500</v>
      </c>
      <c r="AS157" s="11">
        <f t="shared" si="61"/>
        <v>991422550</v>
      </c>
      <c r="AT157" s="11">
        <f t="shared" si="61"/>
        <v>1024384200</v>
      </c>
      <c r="AU157" s="11">
        <f t="shared" si="61"/>
        <v>989594700</v>
      </c>
      <c r="AV157" s="11">
        <f t="shared" si="61"/>
        <v>958646200</v>
      </c>
      <c r="AW157" s="11">
        <f t="shared" si="61"/>
        <v>1171445300</v>
      </c>
      <c r="AX157" s="11">
        <f t="shared" si="61"/>
        <v>1157853550</v>
      </c>
      <c r="AY157" s="11">
        <f t="shared" si="61"/>
        <v>1039565400</v>
      </c>
      <c r="AZ157" s="11">
        <f t="shared" si="61"/>
        <v>998433100</v>
      </c>
      <c r="BA157" s="11">
        <f t="shared" si="61"/>
        <v>1140910650</v>
      </c>
      <c r="BB157" s="11">
        <f t="shared" si="61"/>
        <v>1175070600</v>
      </c>
      <c r="BC157" s="11">
        <f t="shared" si="61"/>
        <v>941682900</v>
      </c>
      <c r="BD157" s="11">
        <f t="shared" si="61"/>
        <v>1039665800</v>
      </c>
      <c r="BE157" s="11">
        <f t="shared" si="61"/>
        <v>978738700</v>
      </c>
      <c r="BF157" s="11">
        <f t="shared" si="61"/>
        <v>981480100</v>
      </c>
      <c r="BG157" s="11">
        <f t="shared" si="61"/>
        <v>948246200</v>
      </c>
      <c r="BH157" s="11">
        <f t="shared" si="61"/>
        <v>1067270700</v>
      </c>
      <c r="BI157" s="11">
        <f t="shared" si="61"/>
        <v>1063520650</v>
      </c>
      <c r="BJ157" s="11">
        <f t="shared" si="61"/>
        <v>1033928300</v>
      </c>
      <c r="BK157" s="11">
        <f t="shared" si="61"/>
        <v>1052316700</v>
      </c>
      <c r="BL157" s="11">
        <f t="shared" si="61"/>
        <v>1026232400</v>
      </c>
      <c r="BM157" s="11">
        <f t="shared" si="61"/>
        <v>1125883600</v>
      </c>
    </row>
    <row r="158" spans="1:65" x14ac:dyDescent="0.25">
      <c r="A158" s="1">
        <v>46</v>
      </c>
      <c r="B158" s="1">
        <f>VLOOKUP(E158,'[2]Peajes (1)'!$A:$D,4,0)</f>
        <v>5607</v>
      </c>
      <c r="C158" s="3" t="s">
        <v>59</v>
      </c>
      <c r="D158" s="3" t="s">
        <v>60</v>
      </c>
      <c r="E158" s="3" t="s">
        <v>69</v>
      </c>
      <c r="F158" s="4">
        <v>2414631800</v>
      </c>
      <c r="G158" s="4">
        <v>2099651100</v>
      </c>
      <c r="H158" s="4">
        <v>2191720200</v>
      </c>
      <c r="I158" s="4">
        <v>2431559500</v>
      </c>
      <c r="J158" s="4">
        <v>2186561100</v>
      </c>
      <c r="K158" s="4">
        <v>2254232000</v>
      </c>
      <c r="L158" s="4">
        <v>2456489300</v>
      </c>
      <c r="M158" s="4">
        <v>2362519100</v>
      </c>
      <c r="N158" s="4">
        <v>2341039300</v>
      </c>
      <c r="O158" s="4">
        <v>2430465600</v>
      </c>
      <c r="P158" s="4">
        <v>2367663500</v>
      </c>
      <c r="Q158" s="4">
        <v>2646250100</v>
      </c>
      <c r="R158" s="4">
        <v>2672337700</v>
      </c>
      <c r="S158" s="4">
        <v>2235284100</v>
      </c>
      <c r="T158" s="4">
        <v>2346507700</v>
      </c>
      <c r="U158" s="4">
        <v>2606912800</v>
      </c>
      <c r="V158" s="4">
        <v>2495323200</v>
      </c>
      <c r="W158" s="4">
        <v>2541108500</v>
      </c>
      <c r="X158" s="4">
        <v>2711092700</v>
      </c>
      <c r="Y158" s="4">
        <v>2668543000</v>
      </c>
      <c r="Z158" s="4">
        <v>2552790300</v>
      </c>
      <c r="AA158" s="4">
        <v>2683624000</v>
      </c>
      <c r="AB158" s="4">
        <v>2581238400</v>
      </c>
      <c r="AC158" s="4">
        <v>2976959400</v>
      </c>
      <c r="AD158" s="4">
        <v>2937552600</v>
      </c>
      <c r="AE158" s="4">
        <v>2640579300</v>
      </c>
      <c r="AF158" s="4">
        <v>3028157900</v>
      </c>
      <c r="AG158" s="4">
        <v>2617425900</v>
      </c>
      <c r="AH158" s="4">
        <v>2807074300</v>
      </c>
      <c r="AI158" s="4">
        <v>2185010300</v>
      </c>
      <c r="AJ158" s="4">
        <v>2890892300</v>
      </c>
      <c r="AK158" s="4">
        <v>3233775000</v>
      </c>
      <c r="AL158" s="4">
        <v>2989799500</v>
      </c>
      <c r="AM158" s="4">
        <v>2994296700</v>
      </c>
      <c r="AN158" s="4">
        <v>3067280700</v>
      </c>
      <c r="AO158" s="4">
        <v>3352821200</v>
      </c>
      <c r="AP158" s="4">
        <v>3319521400</v>
      </c>
      <c r="AQ158" s="4">
        <v>2830877800</v>
      </c>
      <c r="AR158" s="4">
        <v>2998653600</v>
      </c>
      <c r="AS158" s="4">
        <v>3109241900</v>
      </c>
      <c r="AT158" s="4">
        <v>2965079800</v>
      </c>
      <c r="AU158" s="4">
        <v>3115072800</v>
      </c>
      <c r="AV158" s="4">
        <v>3455616600</v>
      </c>
      <c r="AW158" s="4">
        <v>3386501400</v>
      </c>
      <c r="AX158" s="4">
        <v>3177820300</v>
      </c>
      <c r="AY158" s="4">
        <v>3229166200</v>
      </c>
      <c r="AZ158" s="4">
        <v>2827641150</v>
      </c>
      <c r="BA158" s="4">
        <v>3649452950</v>
      </c>
      <c r="BB158" s="4">
        <v>3569589100</v>
      </c>
      <c r="BC158" s="4">
        <v>2982301500</v>
      </c>
      <c r="BD158" s="4">
        <v>3628838700</v>
      </c>
      <c r="BE158" s="4">
        <v>3363717300</v>
      </c>
      <c r="BF158" s="4">
        <v>3318184200</v>
      </c>
      <c r="BG158" s="4">
        <v>3393585400</v>
      </c>
      <c r="BH158" s="4">
        <v>3716513300</v>
      </c>
      <c r="BI158" s="4">
        <v>3632112600</v>
      </c>
      <c r="BJ158" s="4">
        <v>3472156700</v>
      </c>
      <c r="BK158" s="4">
        <v>3658232900</v>
      </c>
      <c r="BL158" s="4">
        <v>0</v>
      </c>
      <c r="BM158" s="4">
        <v>0</v>
      </c>
    </row>
    <row r="159" spans="1:65" x14ac:dyDescent="0.25">
      <c r="A159" s="1">
        <v>133</v>
      </c>
      <c r="B159" s="1">
        <f>VLOOKUP(E159,'[2]Peajes (1)'!$A:$D,4,0)</f>
        <v>3859</v>
      </c>
      <c r="C159" s="3" t="s">
        <v>195</v>
      </c>
      <c r="D159" s="3" t="s">
        <v>196</v>
      </c>
      <c r="E159" s="3" t="s">
        <v>256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>
        <v>0</v>
      </c>
      <c r="AE159" s="4">
        <v>0</v>
      </c>
      <c r="AF159" s="4">
        <v>0</v>
      </c>
      <c r="AG159" s="4">
        <v>147369000</v>
      </c>
      <c r="AH159" s="4">
        <v>290676200</v>
      </c>
      <c r="AI159" s="4">
        <v>302123700</v>
      </c>
      <c r="AJ159" s="4">
        <v>228404300</v>
      </c>
      <c r="AK159" s="4">
        <v>633266700</v>
      </c>
      <c r="AL159" s="4">
        <v>793522600</v>
      </c>
      <c r="AM159" s="4">
        <v>801393200</v>
      </c>
      <c r="AN159" s="4">
        <v>763213500</v>
      </c>
      <c r="AO159" s="4">
        <v>879791500</v>
      </c>
      <c r="AP159" s="4">
        <v>1003944500</v>
      </c>
      <c r="AQ159" s="4">
        <v>645057200</v>
      </c>
      <c r="AR159" s="4">
        <v>347297300</v>
      </c>
      <c r="AS159" s="4">
        <v>317516900</v>
      </c>
      <c r="AT159" s="4">
        <v>313943200</v>
      </c>
      <c r="AU159" s="4">
        <v>286797600</v>
      </c>
      <c r="AV159" s="4">
        <v>311765500</v>
      </c>
      <c r="AW159" s="4">
        <v>337439500</v>
      </c>
      <c r="AX159" s="4">
        <v>339372800</v>
      </c>
      <c r="AY159" s="4">
        <v>324274800</v>
      </c>
      <c r="AZ159" s="4">
        <v>365213300</v>
      </c>
      <c r="BA159" s="4">
        <v>381827850</v>
      </c>
      <c r="BB159" s="4">
        <v>378326150</v>
      </c>
      <c r="BC159" s="4">
        <v>310477300</v>
      </c>
      <c r="BD159" s="4">
        <v>356673500</v>
      </c>
      <c r="BE159" s="4">
        <v>361154650</v>
      </c>
      <c r="BF159" s="4">
        <v>378701700</v>
      </c>
      <c r="BG159" s="4">
        <v>350739300</v>
      </c>
      <c r="BH159" s="4">
        <v>363626700</v>
      </c>
      <c r="BI159" s="4">
        <v>402182550</v>
      </c>
      <c r="BJ159" s="4">
        <v>349110750</v>
      </c>
      <c r="BK159" s="4">
        <v>385154750</v>
      </c>
      <c r="BL159" s="4">
        <v>435070300</v>
      </c>
      <c r="BM159" s="4">
        <v>427265300</v>
      </c>
    </row>
    <row r="160" spans="1:65" x14ac:dyDescent="0.25">
      <c r="A160" s="1">
        <v>84</v>
      </c>
      <c r="B160" s="1">
        <f>VLOOKUP(E160,'[2]Peajes (1)'!$A:$D,4,0)</f>
        <v>3920</v>
      </c>
      <c r="C160" s="3" t="s">
        <v>112</v>
      </c>
      <c r="D160" s="3" t="s">
        <v>113</v>
      </c>
      <c r="E160" s="3" t="s">
        <v>120</v>
      </c>
      <c r="F160" s="4">
        <v>2246591400</v>
      </c>
      <c r="G160" s="4">
        <v>1745005800</v>
      </c>
      <c r="H160" s="4">
        <v>1855033600</v>
      </c>
      <c r="I160" s="4">
        <v>2019791500</v>
      </c>
      <c r="J160" s="4">
        <v>1155526800</v>
      </c>
      <c r="K160" s="4">
        <v>1884314800</v>
      </c>
      <c r="L160" s="4">
        <v>2193739500</v>
      </c>
      <c r="M160" s="4">
        <v>1981855400</v>
      </c>
      <c r="N160" s="4">
        <v>1957047500</v>
      </c>
      <c r="O160" s="4">
        <v>2149824200</v>
      </c>
      <c r="P160" s="4">
        <v>1837586300</v>
      </c>
      <c r="Q160" s="4">
        <v>2149744200</v>
      </c>
      <c r="R160" s="4">
        <v>2260854400</v>
      </c>
      <c r="S160" s="4">
        <v>1974008900</v>
      </c>
      <c r="T160" s="4">
        <v>2107280200</v>
      </c>
      <c r="U160" s="4">
        <v>2074643500</v>
      </c>
      <c r="V160" s="4">
        <v>2101202200</v>
      </c>
      <c r="W160" s="4">
        <v>2101760500</v>
      </c>
      <c r="X160" s="4">
        <v>2436054200</v>
      </c>
      <c r="Y160" s="4">
        <v>2455307600</v>
      </c>
      <c r="Z160" s="4">
        <v>2438168900</v>
      </c>
      <c r="AA160" s="4">
        <v>2514909000</v>
      </c>
      <c r="AB160" s="4">
        <v>2381079900</v>
      </c>
      <c r="AC160" s="4">
        <v>2538907700</v>
      </c>
      <c r="AD160" s="4">
        <v>2738295800</v>
      </c>
      <c r="AE160" s="4">
        <v>2218692000</v>
      </c>
      <c r="AF160" s="4">
        <v>2386408900</v>
      </c>
      <c r="AG160" s="4">
        <v>2320200600</v>
      </c>
      <c r="AH160" s="4">
        <v>2242007100</v>
      </c>
      <c r="AI160" s="4">
        <v>2359300700</v>
      </c>
      <c r="AJ160" s="4">
        <v>2207636300</v>
      </c>
      <c r="AK160" s="4">
        <v>2513316200</v>
      </c>
      <c r="AL160" s="4">
        <v>2460887800</v>
      </c>
      <c r="AM160" s="4">
        <v>2612223000</v>
      </c>
      <c r="AN160" s="4">
        <v>2390373500</v>
      </c>
      <c r="AO160" s="4">
        <v>2693019300</v>
      </c>
      <c r="AP160" s="4">
        <v>3011945100</v>
      </c>
      <c r="AQ160" s="4">
        <v>2254471100</v>
      </c>
      <c r="AR160" s="4">
        <v>2439939300</v>
      </c>
      <c r="AS160" s="4">
        <v>2507967400</v>
      </c>
      <c r="AT160" s="4">
        <v>2375449500</v>
      </c>
      <c r="AU160" s="4">
        <v>2481824500</v>
      </c>
      <c r="AV160" s="4">
        <v>2437281600</v>
      </c>
      <c r="AW160" s="4">
        <v>2470883900</v>
      </c>
      <c r="AX160" s="4">
        <v>2439535000</v>
      </c>
      <c r="AY160" s="4">
        <v>1676435400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</row>
  </sheetData>
  <autoFilter ref="A1:BM160" xr:uid="{DCA55D4A-3086-4E7E-9605-9E31EA2C3030}">
    <sortState xmlns:xlrd2="http://schemas.microsoft.com/office/spreadsheetml/2017/richdata2" ref="A2:BM160">
      <sortCondition ref="E1:E160"/>
    </sortState>
  </autoFilter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D9B6-FE61-452D-8308-FA6D49633116}">
  <dimension ref="A1:BM160"/>
  <sheetViews>
    <sheetView tabSelected="1" zoomScale="80" zoomScaleNormal="8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31" sqref="E31"/>
    </sheetView>
  </sheetViews>
  <sheetFormatPr defaultColWidth="11.42578125" defaultRowHeight="15" x14ac:dyDescent="0.25"/>
  <cols>
    <col min="1" max="1" width="6.42578125" bestFit="1" customWidth="1"/>
    <col min="2" max="2" width="17.28515625" bestFit="1" customWidth="1"/>
    <col min="3" max="3" width="11.42578125" bestFit="1" customWidth="1"/>
    <col min="4" max="4" width="53.140625" bestFit="1" customWidth="1"/>
    <col min="5" max="5" width="34.7109375" customWidth="1"/>
    <col min="6" max="6" width="10.5703125" bestFit="1" customWidth="1"/>
    <col min="7" max="29" width="10.140625" bestFit="1" customWidth="1"/>
    <col min="30" max="32" width="10.140625" style="5" bestFit="1" customWidth="1"/>
    <col min="33" max="37" width="10.7109375" style="5" bestFit="1" customWidth="1"/>
    <col min="38" max="38" width="11.7109375" style="5" bestFit="1" customWidth="1"/>
    <col min="39" max="41" width="10.7109375" style="5" bestFit="1" customWidth="1"/>
    <col min="42" max="53" width="10.140625" style="5" bestFit="1" customWidth="1"/>
    <col min="54" max="65" width="13.140625" style="5" bestFit="1" customWidth="1"/>
  </cols>
  <sheetData>
    <row r="1" spans="1:65" s="2" customFormat="1" x14ac:dyDescent="0.25">
      <c r="A1" s="1" t="s">
        <v>0</v>
      </c>
      <c r="B1" s="1" t="s">
        <v>252</v>
      </c>
      <c r="C1" s="1" t="s">
        <v>1</v>
      </c>
      <c r="D1" s="1" t="s">
        <v>2</v>
      </c>
      <c r="E1" s="1" t="s">
        <v>3</v>
      </c>
      <c r="F1" s="7">
        <v>41640</v>
      </c>
      <c r="G1" s="7">
        <v>41671</v>
      </c>
      <c r="H1" s="7">
        <v>41699</v>
      </c>
      <c r="I1" s="7">
        <v>41730</v>
      </c>
      <c r="J1" s="7">
        <v>41760</v>
      </c>
      <c r="K1" s="7">
        <v>41791</v>
      </c>
      <c r="L1" s="7">
        <v>41821</v>
      </c>
      <c r="M1" s="7">
        <v>41852</v>
      </c>
      <c r="N1" s="7">
        <v>41883</v>
      </c>
      <c r="O1" s="7">
        <v>41913</v>
      </c>
      <c r="P1" s="7">
        <v>41944</v>
      </c>
      <c r="Q1" s="7">
        <v>41974</v>
      </c>
      <c r="R1" s="7">
        <v>42005</v>
      </c>
      <c r="S1" s="7">
        <v>42036</v>
      </c>
      <c r="T1" s="7">
        <v>42064</v>
      </c>
      <c r="U1" s="7">
        <v>42095</v>
      </c>
      <c r="V1" s="7">
        <v>42125</v>
      </c>
      <c r="W1" s="7">
        <v>42156</v>
      </c>
      <c r="X1" s="7">
        <v>42186</v>
      </c>
      <c r="Y1" s="7">
        <v>42217</v>
      </c>
      <c r="Z1" s="7">
        <v>42248</v>
      </c>
      <c r="AA1" s="7">
        <v>42278</v>
      </c>
      <c r="AB1" s="7">
        <v>42309</v>
      </c>
      <c r="AC1" s="7">
        <v>42339</v>
      </c>
      <c r="AD1" s="7">
        <v>42370</v>
      </c>
      <c r="AE1" s="7">
        <v>42401</v>
      </c>
      <c r="AF1" s="7">
        <v>42430</v>
      </c>
      <c r="AG1" s="7">
        <v>42461</v>
      </c>
      <c r="AH1" s="7">
        <v>42491</v>
      </c>
      <c r="AI1" s="7">
        <v>42522</v>
      </c>
      <c r="AJ1" s="7">
        <v>42552</v>
      </c>
      <c r="AK1" s="7">
        <v>42583</v>
      </c>
      <c r="AL1" s="7">
        <v>42614</v>
      </c>
      <c r="AM1" s="7">
        <v>42644</v>
      </c>
      <c r="AN1" s="7">
        <v>42675</v>
      </c>
      <c r="AO1" s="7">
        <v>42705</v>
      </c>
      <c r="AP1" s="7">
        <v>42736</v>
      </c>
      <c r="AQ1" s="7">
        <v>42767</v>
      </c>
      <c r="AR1" s="7">
        <v>42795</v>
      </c>
      <c r="AS1" s="7">
        <v>42826</v>
      </c>
      <c r="AT1" s="7">
        <v>42856</v>
      </c>
      <c r="AU1" s="7">
        <v>42887</v>
      </c>
      <c r="AV1" s="7">
        <v>42917</v>
      </c>
      <c r="AW1" s="7">
        <v>42948</v>
      </c>
      <c r="AX1" s="7">
        <v>42979</v>
      </c>
      <c r="AY1" s="7">
        <v>43009</v>
      </c>
      <c r="AZ1" s="7">
        <v>43040</v>
      </c>
      <c r="BA1" s="7">
        <v>43070</v>
      </c>
      <c r="BB1" s="7">
        <v>43101</v>
      </c>
      <c r="BC1" s="7">
        <v>43132</v>
      </c>
      <c r="BD1" s="7">
        <v>43160</v>
      </c>
      <c r="BE1" s="7">
        <v>43191</v>
      </c>
      <c r="BF1" s="7">
        <v>43221</v>
      </c>
      <c r="BG1" s="7">
        <v>43252</v>
      </c>
      <c r="BH1" s="7">
        <v>43282</v>
      </c>
      <c r="BI1" s="7">
        <v>43313</v>
      </c>
      <c r="BJ1" s="7">
        <v>43344</v>
      </c>
      <c r="BK1" s="7">
        <v>43374</v>
      </c>
      <c r="BL1" s="7">
        <v>43405</v>
      </c>
      <c r="BM1" s="7">
        <v>43435</v>
      </c>
    </row>
    <row r="2" spans="1:65" x14ac:dyDescent="0.25">
      <c r="A2" s="1">
        <v>99</v>
      </c>
      <c r="B2" s="1">
        <f>VLOOKUP(E2,'[2]Peajes (1)'!$A:$D,4,0)</f>
        <v>3846</v>
      </c>
      <c r="C2" s="3" t="s">
        <v>147</v>
      </c>
      <c r="D2" s="3" t="s">
        <v>148</v>
      </c>
      <c r="E2" s="3" t="s">
        <v>149</v>
      </c>
      <c r="F2" s="6">
        <f>[1]P3!C239+[1]P3!D239</f>
        <v>0</v>
      </c>
      <c r="G2" s="6">
        <f>[1]P3!E239</f>
        <v>0</v>
      </c>
      <c r="H2" s="6">
        <f>[1]P3!F239</f>
        <v>0</v>
      </c>
      <c r="I2" s="6">
        <f>[1]P3!G239</f>
        <v>0</v>
      </c>
      <c r="J2" s="6">
        <f>[1]P3!H239</f>
        <v>0</v>
      </c>
      <c r="K2" s="6">
        <f>[1]P3!I239</f>
        <v>0</v>
      </c>
      <c r="L2" s="6">
        <f>[1]P3!J239</f>
        <v>0</v>
      </c>
      <c r="M2" s="6">
        <f>[1]P3!K239</f>
        <v>0</v>
      </c>
      <c r="N2" s="6">
        <f>[1]P3!L239</f>
        <v>0</v>
      </c>
      <c r="O2" s="6">
        <f>[1]P3!M239</f>
        <v>0</v>
      </c>
      <c r="P2" s="6">
        <f>[1]P3!N239</f>
        <v>0</v>
      </c>
      <c r="Q2" s="6">
        <f>[1]P3!O239</f>
        <v>91790</v>
      </c>
      <c r="R2" s="6">
        <v>92652</v>
      </c>
      <c r="S2" s="6">
        <v>68995</v>
      </c>
      <c r="T2" s="6">
        <v>78311</v>
      </c>
      <c r="U2" s="6">
        <v>76855</v>
      </c>
      <c r="V2" s="6">
        <v>78805</v>
      </c>
      <c r="W2" s="6">
        <v>80921</v>
      </c>
      <c r="X2" s="6">
        <v>82438</v>
      </c>
      <c r="Y2" s="6">
        <v>81405</v>
      </c>
      <c r="Z2" s="6">
        <v>77309</v>
      </c>
      <c r="AA2" s="6">
        <v>84130</v>
      </c>
      <c r="AB2" s="6">
        <v>83201</v>
      </c>
      <c r="AC2" s="6">
        <v>102465</v>
      </c>
      <c r="AD2" s="6">
        <v>97515</v>
      </c>
      <c r="AE2" s="6">
        <v>76217</v>
      </c>
      <c r="AF2" s="6">
        <v>86264</v>
      </c>
      <c r="AG2" s="6">
        <v>75724</v>
      </c>
      <c r="AH2" s="6">
        <v>83620</v>
      </c>
      <c r="AI2" s="6">
        <v>83344</v>
      </c>
      <c r="AJ2" s="6">
        <v>90354</v>
      </c>
      <c r="AK2" s="6">
        <v>86790</v>
      </c>
      <c r="AL2" s="6">
        <v>82716</v>
      </c>
      <c r="AM2" s="6">
        <v>88979</v>
      </c>
      <c r="AN2" s="6">
        <v>90183</v>
      </c>
      <c r="AO2" s="6">
        <v>103942</v>
      </c>
      <c r="AP2" s="6">
        <v>103648</v>
      </c>
      <c r="AQ2" s="6">
        <v>79482</v>
      </c>
      <c r="AR2" s="6">
        <v>88909</v>
      </c>
      <c r="AS2" s="6">
        <v>90179</v>
      </c>
      <c r="AT2" s="6">
        <v>90302</v>
      </c>
      <c r="AU2" s="6">
        <v>87110</v>
      </c>
      <c r="AV2" s="6">
        <v>90561</v>
      </c>
      <c r="AW2" s="6">
        <v>85800</v>
      </c>
      <c r="AX2" s="6">
        <v>77672</v>
      </c>
      <c r="AY2" s="6">
        <v>79348</v>
      </c>
      <c r="AZ2" s="6">
        <v>89969</v>
      </c>
      <c r="BA2" s="6">
        <v>107648</v>
      </c>
      <c r="BB2" s="6">
        <v>139093</v>
      </c>
      <c r="BC2" s="6">
        <v>136699</v>
      </c>
      <c r="BD2" s="6">
        <v>129099</v>
      </c>
      <c r="BE2" s="6">
        <v>109589</v>
      </c>
      <c r="BF2" s="6">
        <v>120429</v>
      </c>
      <c r="BG2" s="6">
        <v>112631</v>
      </c>
      <c r="BH2" s="6">
        <v>121432</v>
      </c>
      <c r="BI2" s="6">
        <v>119666</v>
      </c>
      <c r="BJ2" s="6">
        <v>106213</v>
      </c>
      <c r="BK2" s="6">
        <v>115864</v>
      </c>
      <c r="BL2" s="6">
        <v>115550</v>
      </c>
      <c r="BM2" s="6">
        <v>129337</v>
      </c>
    </row>
    <row r="3" spans="1:65" x14ac:dyDescent="0.25">
      <c r="A3" s="1">
        <v>78</v>
      </c>
      <c r="B3" s="1">
        <f>VLOOKUP(E3,'[2]Peajes (1)'!$A:$D,4,0)</f>
        <v>3937</v>
      </c>
      <c r="C3" s="3" t="s">
        <v>112</v>
      </c>
      <c r="D3" s="3" t="s">
        <v>113</v>
      </c>
      <c r="E3" s="3" t="s">
        <v>114</v>
      </c>
      <c r="F3" s="6">
        <f>[1]RDS2!C239+[1]RDS2!D239</f>
        <v>175322</v>
      </c>
      <c r="G3" s="6">
        <f>[1]RDS2!E239</f>
        <v>111638</v>
      </c>
      <c r="H3" s="6">
        <f>[1]RDS2!F239</f>
        <v>119312</v>
      </c>
      <c r="I3" s="6">
        <f>[1]RDS2!G239</f>
        <v>141652</v>
      </c>
      <c r="J3" s="6">
        <f>[1]RDS2!H239</f>
        <v>82592</v>
      </c>
      <c r="K3" s="6">
        <f>[1]RDS2!I239</f>
        <v>132517</v>
      </c>
      <c r="L3" s="6">
        <f>[1]RDS2!J239</f>
        <v>141978</v>
      </c>
      <c r="M3" s="6">
        <f>[1]RDS2!K239</f>
        <v>131071</v>
      </c>
      <c r="N3" s="6">
        <f>[1]RDS2!L239</f>
        <v>130525</v>
      </c>
      <c r="O3" s="6">
        <f>[1]RDS2!M239</f>
        <v>144947</v>
      </c>
      <c r="P3" s="6">
        <f>[1]RDS2!N239</f>
        <v>121281</v>
      </c>
      <c r="Q3" s="6">
        <f>[1]RDS2!O239</f>
        <v>163462</v>
      </c>
      <c r="R3" s="6">
        <v>174140</v>
      </c>
      <c r="S3" s="6">
        <v>117900</v>
      </c>
      <c r="T3" s="6">
        <v>131960</v>
      </c>
      <c r="U3" s="6">
        <v>133109</v>
      </c>
      <c r="V3" s="6">
        <v>128348</v>
      </c>
      <c r="W3" s="6">
        <v>135316</v>
      </c>
      <c r="X3" s="6">
        <v>149760</v>
      </c>
      <c r="Y3" s="6">
        <v>145247</v>
      </c>
      <c r="Z3" s="6">
        <v>136081</v>
      </c>
      <c r="AA3" s="6">
        <v>148961</v>
      </c>
      <c r="AB3" s="6">
        <v>142373</v>
      </c>
      <c r="AC3" s="6">
        <v>183944</v>
      </c>
      <c r="AD3" s="6">
        <v>197229</v>
      </c>
      <c r="AE3" s="6">
        <v>120500</v>
      </c>
      <c r="AF3" s="6">
        <v>147347</v>
      </c>
      <c r="AG3" s="6">
        <v>124425</v>
      </c>
      <c r="AH3" s="6">
        <v>125077</v>
      </c>
      <c r="AI3" s="6">
        <v>134885</v>
      </c>
      <c r="AJ3" s="6">
        <v>131106</v>
      </c>
      <c r="AK3" s="6">
        <v>137888</v>
      </c>
      <c r="AL3" s="6">
        <v>128349</v>
      </c>
      <c r="AM3" s="6">
        <v>142278</v>
      </c>
      <c r="AN3" s="6">
        <v>135228</v>
      </c>
      <c r="AO3" s="6">
        <v>178389</v>
      </c>
      <c r="AP3" s="6">
        <v>197845</v>
      </c>
      <c r="AQ3" s="6">
        <v>119083</v>
      </c>
      <c r="AR3" s="6">
        <v>127022</v>
      </c>
      <c r="AS3" s="6">
        <v>144690</v>
      </c>
      <c r="AT3" s="6">
        <v>124210</v>
      </c>
      <c r="AU3" s="6">
        <v>136894</v>
      </c>
      <c r="AV3" s="6">
        <v>136062</v>
      </c>
      <c r="AW3" s="6">
        <v>133317</v>
      </c>
      <c r="AX3" s="6">
        <v>128505</v>
      </c>
      <c r="AY3" s="6">
        <v>93831</v>
      </c>
      <c r="AZ3" s="6">
        <v>0</v>
      </c>
      <c r="BA3" s="6">
        <v>0</v>
      </c>
      <c r="BB3" s="6">
        <v>449606</v>
      </c>
      <c r="BC3" s="6">
        <v>295750</v>
      </c>
      <c r="BD3" s="6">
        <v>394704</v>
      </c>
      <c r="BE3" s="6">
        <v>327786</v>
      </c>
      <c r="BF3" s="6">
        <v>336838</v>
      </c>
      <c r="BG3" s="6">
        <v>383911</v>
      </c>
      <c r="BH3" s="6">
        <v>401444</v>
      </c>
      <c r="BI3" s="6">
        <v>395070</v>
      </c>
      <c r="BJ3" s="6">
        <v>342492</v>
      </c>
      <c r="BK3" s="6">
        <v>389079</v>
      </c>
      <c r="BL3" s="6">
        <v>384287</v>
      </c>
      <c r="BM3" s="6">
        <v>564309</v>
      </c>
    </row>
    <row r="4" spans="1:65" x14ac:dyDescent="0.25">
      <c r="A4" s="1">
        <v>52</v>
      </c>
      <c r="B4" s="1">
        <f>VLOOKUP(E4,'[2]Peajes (1)'!$A:$D,4,0)</f>
        <v>3935</v>
      </c>
      <c r="C4" s="3" t="s">
        <v>79</v>
      </c>
      <c r="D4" s="3" t="s">
        <v>80</v>
      </c>
      <c r="E4" s="3" t="s">
        <v>81</v>
      </c>
      <c r="F4" s="6">
        <f>[1]BTS!C239+[1]BTS!D239</f>
        <v>355251</v>
      </c>
      <c r="G4" s="6">
        <f>[1]BTS!E239</f>
        <v>244244</v>
      </c>
      <c r="H4" s="6">
        <f>[1]BTS!F239</f>
        <v>282834</v>
      </c>
      <c r="I4" s="6">
        <f>[1]BTS!G239</f>
        <v>305408</v>
      </c>
      <c r="J4" s="6">
        <f>[1]BTS!H239</f>
        <v>241843</v>
      </c>
      <c r="K4" s="6">
        <f>[1]BTS!I239</f>
        <v>313235</v>
      </c>
      <c r="L4" s="6">
        <f>[1]BTS!J239</f>
        <v>287770</v>
      </c>
      <c r="M4" s="6">
        <f>[1]BTS!K239</f>
        <v>313329</v>
      </c>
      <c r="N4" s="6">
        <f>[1]BTS!L239</f>
        <v>263142</v>
      </c>
      <c r="O4" s="6">
        <f>[1]BTS!M239</f>
        <v>312162</v>
      </c>
      <c r="P4" s="6">
        <f>[1]BTS!N239</f>
        <v>303257</v>
      </c>
      <c r="Q4" s="6">
        <f>[1]BTS!O239</f>
        <v>425273</v>
      </c>
      <c r="R4" s="6">
        <v>389380</v>
      </c>
      <c r="S4" s="6">
        <v>259217</v>
      </c>
      <c r="T4" s="6">
        <v>291487</v>
      </c>
      <c r="U4" s="6">
        <v>321502</v>
      </c>
      <c r="V4" s="6">
        <v>323571</v>
      </c>
      <c r="W4" s="6">
        <v>348277</v>
      </c>
      <c r="X4" s="6">
        <v>330575</v>
      </c>
      <c r="Y4" s="6">
        <v>337213</v>
      </c>
      <c r="Z4" s="6">
        <v>284793</v>
      </c>
      <c r="AA4" s="6">
        <v>343016</v>
      </c>
      <c r="AB4" s="6">
        <v>323331</v>
      </c>
      <c r="AC4" s="6">
        <v>459351</v>
      </c>
      <c r="AD4" s="6">
        <v>411188</v>
      </c>
      <c r="AE4" s="6">
        <v>280997</v>
      </c>
      <c r="AF4" s="6">
        <v>377069</v>
      </c>
      <c r="AG4" s="6">
        <v>283988</v>
      </c>
      <c r="AH4" s="6">
        <v>339126</v>
      </c>
      <c r="AI4" s="6">
        <v>314921</v>
      </c>
      <c r="AJ4" s="6">
        <v>299591</v>
      </c>
      <c r="AK4" s="6">
        <v>350355</v>
      </c>
      <c r="AL4" s="6">
        <v>305016</v>
      </c>
      <c r="AM4" s="6">
        <v>354488</v>
      </c>
      <c r="AN4" s="6">
        <v>337603</v>
      </c>
      <c r="AO4" s="6">
        <v>469466</v>
      </c>
      <c r="AP4" s="6">
        <v>429518</v>
      </c>
      <c r="AQ4" s="6">
        <v>290764</v>
      </c>
      <c r="AR4" s="6">
        <v>326996</v>
      </c>
      <c r="AS4" s="6">
        <v>376121</v>
      </c>
      <c r="AT4" s="6">
        <v>335898</v>
      </c>
      <c r="AU4" s="6">
        <v>354376</v>
      </c>
      <c r="AV4" s="6">
        <v>377207</v>
      </c>
      <c r="AW4" s="6">
        <v>369778</v>
      </c>
      <c r="AX4" s="6">
        <v>308679</v>
      </c>
      <c r="AY4" s="6">
        <v>363751</v>
      </c>
      <c r="AZ4" s="6">
        <v>351327</v>
      </c>
      <c r="BA4" s="6">
        <v>517453</v>
      </c>
      <c r="BB4" s="6">
        <v>117298</v>
      </c>
      <c r="BC4" s="6">
        <v>84119</v>
      </c>
      <c r="BD4" s="6">
        <v>102185</v>
      </c>
      <c r="BE4" s="6">
        <v>87193</v>
      </c>
      <c r="BF4" s="6">
        <v>91424</v>
      </c>
      <c r="BG4" s="6">
        <v>91598</v>
      </c>
      <c r="BH4" s="6">
        <v>94288</v>
      </c>
      <c r="BI4" s="6">
        <v>91648</v>
      </c>
      <c r="BJ4" s="6">
        <v>89153</v>
      </c>
      <c r="BK4" s="6">
        <v>98941</v>
      </c>
      <c r="BL4" s="6">
        <v>98799</v>
      </c>
      <c r="BM4" s="6">
        <v>114978</v>
      </c>
    </row>
    <row r="5" spans="1:65" x14ac:dyDescent="0.25">
      <c r="A5" s="1">
        <v>146</v>
      </c>
      <c r="B5" s="1">
        <f>VLOOKUP(E5,'[2]Peajes (1)'!$A:$D,4,0)</f>
        <v>3816</v>
      </c>
      <c r="C5" s="3" t="s">
        <v>218</v>
      </c>
      <c r="D5" s="3" t="s">
        <v>219</v>
      </c>
      <c r="E5" s="3" t="s">
        <v>220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24493</v>
      </c>
      <c r="AA5" s="6">
        <v>98310</v>
      </c>
      <c r="AB5" s="6">
        <v>97323</v>
      </c>
      <c r="AC5" s="6">
        <v>115648</v>
      </c>
      <c r="AD5" s="6">
        <v>111120</v>
      </c>
      <c r="AE5" s="6">
        <v>84031</v>
      </c>
      <c r="AF5" s="6">
        <v>101005</v>
      </c>
      <c r="AG5" s="6">
        <v>89415</v>
      </c>
      <c r="AH5" s="6">
        <v>96922</v>
      </c>
      <c r="AI5" s="6">
        <v>92988</v>
      </c>
      <c r="AJ5" s="6">
        <v>97479</v>
      </c>
      <c r="AK5" s="6">
        <v>104534</v>
      </c>
      <c r="AL5" s="6">
        <v>101744</v>
      </c>
      <c r="AM5" s="6">
        <v>113812</v>
      </c>
      <c r="AN5" s="6">
        <v>111004</v>
      </c>
      <c r="AO5" s="6">
        <v>125534</v>
      </c>
      <c r="AP5" s="6">
        <v>117938</v>
      </c>
      <c r="AQ5" s="6">
        <v>88895</v>
      </c>
      <c r="AR5" s="6">
        <v>98913</v>
      </c>
      <c r="AS5" s="6">
        <v>105715</v>
      </c>
      <c r="AT5" s="6">
        <v>95013</v>
      </c>
      <c r="AU5" s="6">
        <v>99422</v>
      </c>
      <c r="AV5" s="6">
        <v>102869</v>
      </c>
      <c r="AW5" s="6">
        <v>102568</v>
      </c>
      <c r="AX5" s="6">
        <v>94784</v>
      </c>
      <c r="AY5" s="6">
        <v>101393</v>
      </c>
      <c r="AZ5" s="6">
        <v>100920</v>
      </c>
      <c r="BA5" s="6">
        <v>117914</v>
      </c>
      <c r="BB5" s="6">
        <v>101016</v>
      </c>
      <c r="BC5" s="6">
        <v>85340</v>
      </c>
      <c r="BD5" s="6">
        <v>98276</v>
      </c>
      <c r="BE5" s="6">
        <v>93962</v>
      </c>
      <c r="BF5" s="6">
        <v>93823</v>
      </c>
      <c r="BG5" s="6">
        <v>91076</v>
      </c>
      <c r="BH5" s="6">
        <v>97179</v>
      </c>
      <c r="BI5" s="6">
        <v>94174</v>
      </c>
      <c r="BJ5" s="6">
        <v>88958</v>
      </c>
      <c r="BK5" s="6">
        <v>89538</v>
      </c>
      <c r="BL5" s="6">
        <v>88780</v>
      </c>
      <c r="BM5" s="6">
        <v>112008</v>
      </c>
    </row>
    <row r="6" spans="1:65" x14ac:dyDescent="0.25">
      <c r="A6" s="1">
        <v>34</v>
      </c>
      <c r="B6" s="1">
        <f>VLOOKUP(E6,'[2]Peajes (1)'!$A:$D,4,0)</f>
        <v>3818</v>
      </c>
      <c r="C6" s="3" t="s">
        <v>53</v>
      </c>
      <c r="D6" s="3" t="s">
        <v>54</v>
      </c>
      <c r="E6" s="3" t="s">
        <v>55</v>
      </c>
      <c r="F6" s="6">
        <f>[1]SMP!C379+[1]SMP!D379</f>
        <v>90028</v>
      </c>
      <c r="G6" s="6">
        <f>[1]SMP!E379</f>
        <v>68820</v>
      </c>
      <c r="H6" s="6">
        <f>[1]SMP!F379</f>
        <v>72522</v>
      </c>
      <c r="I6" s="6">
        <f>[1]SMP!G379</f>
        <v>74268</v>
      </c>
      <c r="J6" s="6">
        <f>[1]SMP!H379</f>
        <v>75313</v>
      </c>
      <c r="K6" s="6">
        <f>[1]SMP!I379</f>
        <v>74567</v>
      </c>
      <c r="L6" s="6">
        <f>[1]SMP!J379</f>
        <v>77920</v>
      </c>
      <c r="M6" s="6">
        <f>[1]SMP!K379</f>
        <v>74311</v>
      </c>
      <c r="N6" s="6">
        <f>[1]SMP!L379</f>
        <v>68660</v>
      </c>
      <c r="O6" s="6">
        <f>[1]SMP!M379</f>
        <v>67749</v>
      </c>
      <c r="P6" s="6">
        <f>[1]SMP!N379</f>
        <v>68918</v>
      </c>
      <c r="Q6" s="6">
        <f>[1]SMP!O379</f>
        <v>84597</v>
      </c>
      <c r="R6" s="6">
        <v>75842</v>
      </c>
      <c r="S6" s="6">
        <v>60636</v>
      </c>
      <c r="T6" s="6">
        <v>70308</v>
      </c>
      <c r="U6" s="6">
        <v>69301</v>
      </c>
      <c r="V6" s="6">
        <v>73536</v>
      </c>
      <c r="W6" s="6">
        <v>70070</v>
      </c>
      <c r="X6" s="6">
        <v>70303</v>
      </c>
      <c r="Y6" s="6">
        <v>73017</v>
      </c>
      <c r="Z6" s="6">
        <v>63301</v>
      </c>
      <c r="AA6" s="6">
        <v>70941</v>
      </c>
      <c r="AB6" s="6">
        <v>68153</v>
      </c>
      <c r="AC6" s="6">
        <v>86405</v>
      </c>
      <c r="AD6" s="6">
        <v>78230</v>
      </c>
      <c r="AE6" s="6">
        <v>68291</v>
      </c>
      <c r="AF6" s="6">
        <v>77989</v>
      </c>
      <c r="AG6" s="6">
        <v>71805</v>
      </c>
      <c r="AH6" s="6">
        <v>83063</v>
      </c>
      <c r="AI6" s="6">
        <v>77763</v>
      </c>
      <c r="AJ6" s="6">
        <v>79065</v>
      </c>
      <c r="AK6" s="6">
        <v>75793</v>
      </c>
      <c r="AL6" s="6">
        <v>74170</v>
      </c>
      <c r="AM6" s="6">
        <v>78084</v>
      </c>
      <c r="AN6" s="6">
        <v>83090</v>
      </c>
      <c r="AO6" s="6">
        <v>96055</v>
      </c>
      <c r="AP6" s="6">
        <v>85047</v>
      </c>
      <c r="AQ6" s="6">
        <v>75379</v>
      </c>
      <c r="AR6" s="6">
        <v>86621</v>
      </c>
      <c r="AS6" s="6">
        <v>83183</v>
      </c>
      <c r="AT6" s="6">
        <v>95446</v>
      </c>
      <c r="AU6" s="6">
        <v>87838</v>
      </c>
      <c r="AV6" s="6">
        <v>94486</v>
      </c>
      <c r="AW6" s="6">
        <v>94905</v>
      </c>
      <c r="AX6" s="6">
        <v>92692</v>
      </c>
      <c r="AY6" s="6">
        <v>95249</v>
      </c>
      <c r="AZ6" s="6">
        <v>89632</v>
      </c>
      <c r="BA6" s="6">
        <v>111334</v>
      </c>
      <c r="BB6" s="6">
        <v>181820</v>
      </c>
      <c r="BC6" s="6">
        <v>130604</v>
      </c>
      <c r="BD6" s="6">
        <v>154935</v>
      </c>
      <c r="BE6" s="6">
        <v>143557</v>
      </c>
      <c r="BF6" s="6">
        <v>145362</v>
      </c>
      <c r="BG6" s="6">
        <v>149184</v>
      </c>
      <c r="BH6" s="6">
        <v>156102</v>
      </c>
      <c r="BI6" s="6">
        <v>153731</v>
      </c>
      <c r="BJ6" s="6">
        <v>140036</v>
      </c>
      <c r="BK6" s="6">
        <v>149186</v>
      </c>
      <c r="BL6" s="6">
        <v>142114</v>
      </c>
      <c r="BM6" s="6">
        <v>164997</v>
      </c>
    </row>
    <row r="7" spans="1:65" x14ac:dyDescent="0.25">
      <c r="A7" s="1">
        <v>123</v>
      </c>
      <c r="B7" s="1">
        <f>VLOOKUP(E7,'[2]Peajes (1)'!$A:$D,4,0)</f>
        <v>3983</v>
      </c>
      <c r="C7" s="3" t="s">
        <v>185</v>
      </c>
      <c r="D7" s="3" t="s">
        <v>186</v>
      </c>
      <c r="E7" s="3" t="s">
        <v>187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46315</v>
      </c>
      <c r="Z7" s="6">
        <v>140413</v>
      </c>
      <c r="AA7" s="6">
        <v>153003</v>
      </c>
      <c r="AB7" s="6">
        <v>149432</v>
      </c>
      <c r="AC7" s="6">
        <v>178671</v>
      </c>
      <c r="AD7" s="6">
        <v>181869</v>
      </c>
      <c r="AE7" s="6">
        <v>132747</v>
      </c>
      <c r="AF7" s="6">
        <v>154115</v>
      </c>
      <c r="AG7" s="6">
        <v>142040</v>
      </c>
      <c r="AH7" s="6">
        <v>147430</v>
      </c>
      <c r="AI7" s="6">
        <v>149079</v>
      </c>
      <c r="AJ7" s="6">
        <v>154976</v>
      </c>
      <c r="AK7" s="6">
        <v>156819</v>
      </c>
      <c r="AL7" s="6">
        <v>144321</v>
      </c>
      <c r="AM7" s="6">
        <v>155354</v>
      </c>
      <c r="AN7" s="6">
        <v>149700</v>
      </c>
      <c r="AO7" s="6">
        <v>174197</v>
      </c>
      <c r="AP7" s="6">
        <v>184419</v>
      </c>
      <c r="AQ7" s="6">
        <v>131897</v>
      </c>
      <c r="AR7" s="6">
        <v>146168</v>
      </c>
      <c r="AS7" s="6">
        <v>152568</v>
      </c>
      <c r="AT7" s="6">
        <v>149255</v>
      </c>
      <c r="AU7" s="6">
        <v>152981</v>
      </c>
      <c r="AV7" s="6">
        <v>159201</v>
      </c>
      <c r="AW7" s="6">
        <v>157837</v>
      </c>
      <c r="AX7" s="6">
        <v>143663</v>
      </c>
      <c r="AY7" s="6">
        <v>152998</v>
      </c>
      <c r="AZ7" s="6">
        <v>149614</v>
      </c>
      <c r="BA7" s="6">
        <v>174256</v>
      </c>
      <c r="BB7" s="6">
        <v>248671</v>
      </c>
      <c r="BC7" s="6">
        <v>187535</v>
      </c>
      <c r="BD7" s="6">
        <v>231634</v>
      </c>
      <c r="BE7" s="6">
        <v>204391</v>
      </c>
      <c r="BF7" s="6">
        <v>136455</v>
      </c>
      <c r="BG7" s="6">
        <v>172753</v>
      </c>
      <c r="BH7" s="6">
        <v>201723</v>
      </c>
      <c r="BI7" s="6">
        <v>214975</v>
      </c>
      <c r="BJ7" s="6">
        <v>199674</v>
      </c>
      <c r="BK7" s="6">
        <v>209782</v>
      </c>
      <c r="BL7" s="6">
        <v>213607</v>
      </c>
      <c r="BM7" s="6">
        <v>256115</v>
      </c>
    </row>
    <row r="8" spans="1:65" x14ac:dyDescent="0.25">
      <c r="A8" s="1">
        <v>96</v>
      </c>
      <c r="B8" s="1">
        <f>VLOOKUP(E8,'[2]Peajes (1)'!$A:$D,4,0)</f>
        <v>3822</v>
      </c>
      <c r="C8" s="3" t="s">
        <v>140</v>
      </c>
      <c r="D8" s="3" t="s">
        <v>141</v>
      </c>
      <c r="E8" s="3" t="s">
        <v>142</v>
      </c>
      <c r="F8" s="6">
        <f>[1]P1!C99+[1]P1!D99</f>
        <v>0</v>
      </c>
      <c r="G8" s="6">
        <f>[1]P1!E99</f>
        <v>0</v>
      </c>
      <c r="H8" s="6">
        <f>[1]P1!F99</f>
        <v>0</v>
      </c>
      <c r="I8" s="6">
        <f>[1]P1!G99</f>
        <v>0</v>
      </c>
      <c r="J8" s="6">
        <f>[1]P1!H99</f>
        <v>0</v>
      </c>
      <c r="K8" s="6">
        <f>[1]P1!I99</f>
        <v>0</v>
      </c>
      <c r="L8" s="6">
        <f>[1]P1!J99</f>
        <v>0</v>
      </c>
      <c r="M8" s="6">
        <f>[1]P1!K99</f>
        <v>0</v>
      </c>
      <c r="N8" s="6">
        <f>[1]P1!L99</f>
        <v>0</v>
      </c>
      <c r="O8" s="6">
        <f>[1]P1!M99</f>
        <v>0</v>
      </c>
      <c r="P8" s="6">
        <f>[1]P1!N99</f>
        <v>189798</v>
      </c>
      <c r="Q8" s="6">
        <f>[1]P1!O99</f>
        <v>223965</v>
      </c>
      <c r="R8" s="6">
        <v>212893</v>
      </c>
      <c r="S8" s="6">
        <v>164706</v>
      </c>
      <c r="T8" s="6">
        <v>192225</v>
      </c>
      <c r="U8" s="6">
        <v>185774</v>
      </c>
      <c r="V8" s="6">
        <v>206903</v>
      </c>
      <c r="W8" s="6">
        <v>214948</v>
      </c>
      <c r="X8" s="6">
        <v>197441</v>
      </c>
      <c r="Y8" s="6">
        <v>206254</v>
      </c>
      <c r="Z8" s="6">
        <v>189184</v>
      </c>
      <c r="AA8" s="6">
        <v>213292</v>
      </c>
      <c r="AB8" s="6">
        <v>184674</v>
      </c>
      <c r="AC8" s="6">
        <v>233810</v>
      </c>
      <c r="AD8" s="6">
        <v>226676</v>
      </c>
      <c r="AE8" s="6">
        <v>188467</v>
      </c>
      <c r="AF8" s="6">
        <v>226552</v>
      </c>
      <c r="AG8" s="6">
        <v>196195</v>
      </c>
      <c r="AH8" s="6">
        <v>219106</v>
      </c>
      <c r="AI8" s="6">
        <v>210008</v>
      </c>
      <c r="AJ8" s="6">
        <v>217154</v>
      </c>
      <c r="AK8" s="6">
        <v>231049</v>
      </c>
      <c r="AL8" s="6">
        <v>199433</v>
      </c>
      <c r="AM8" s="6">
        <v>217315</v>
      </c>
      <c r="AN8" s="6">
        <v>201518</v>
      </c>
      <c r="AO8" s="6">
        <v>238203</v>
      </c>
      <c r="AP8" s="6">
        <v>233664</v>
      </c>
      <c r="AQ8" s="6">
        <v>185859</v>
      </c>
      <c r="AR8" s="6">
        <v>203793</v>
      </c>
      <c r="AS8" s="6">
        <v>214663</v>
      </c>
      <c r="AT8" s="6">
        <v>209058</v>
      </c>
      <c r="AU8" s="6">
        <v>218307</v>
      </c>
      <c r="AV8" s="6">
        <v>227765</v>
      </c>
      <c r="AW8" s="6">
        <v>217318</v>
      </c>
      <c r="AX8" s="6">
        <v>183491</v>
      </c>
      <c r="AY8" s="6">
        <v>216532</v>
      </c>
      <c r="AZ8" s="6">
        <v>220388</v>
      </c>
      <c r="BA8" s="6">
        <v>261140</v>
      </c>
      <c r="BB8" s="6">
        <v>2100717800</v>
      </c>
      <c r="BC8" s="6">
        <v>1663976350</v>
      </c>
      <c r="BD8" s="6">
        <v>2030450300</v>
      </c>
      <c r="BE8" s="6">
        <v>1821062100</v>
      </c>
      <c r="BF8" s="6">
        <v>1226332200</v>
      </c>
      <c r="BG8" s="6">
        <v>1530527600</v>
      </c>
      <c r="BH8" s="6">
        <v>1773198150</v>
      </c>
      <c r="BI8" s="6">
        <v>1899270950</v>
      </c>
      <c r="BJ8" s="6">
        <v>1758902300</v>
      </c>
      <c r="BK8" s="6">
        <v>1852465800</v>
      </c>
      <c r="BL8" s="6">
        <v>1866120750</v>
      </c>
      <c r="BM8" s="6">
        <v>2185983800</v>
      </c>
    </row>
    <row r="9" spans="1:65" s="10" customFormat="1" hidden="1" x14ac:dyDescent="0.25">
      <c r="A9" s="8">
        <v>17</v>
      </c>
      <c r="B9" s="1">
        <f>VLOOKUP(E9,'[2]Peajes (1)'!$A:$D,4,0)</f>
        <v>3951</v>
      </c>
      <c r="C9" s="8" t="s">
        <v>26</v>
      </c>
      <c r="D9" s="8" t="s">
        <v>27</v>
      </c>
      <c r="E9" s="8" t="s">
        <v>28</v>
      </c>
      <c r="F9" s="6">
        <f>[1]DVN!C99+[1]DVN!D99</f>
        <v>951719</v>
      </c>
      <c r="G9" s="6">
        <f>[1]DVN!E99</f>
        <v>896015</v>
      </c>
      <c r="H9" s="6">
        <f>[1]DVN!F99</f>
        <v>989585</v>
      </c>
      <c r="I9" s="6">
        <f>[1]DVN!G99</f>
        <v>940167</v>
      </c>
      <c r="J9" s="6">
        <f>[1]DVN!H99</f>
        <v>1001869</v>
      </c>
      <c r="K9" s="6">
        <f>[1]DVN!I99</f>
        <v>943065</v>
      </c>
      <c r="L9" s="6">
        <f>[1]DVN!J99</f>
        <v>969776</v>
      </c>
      <c r="M9" s="6">
        <f>[1]DVN!K99</f>
        <v>1041110</v>
      </c>
      <c r="N9" s="6">
        <f>[1]DVN!L99</f>
        <v>988229</v>
      </c>
      <c r="O9" s="6">
        <f>[1]DVN!M99</f>
        <v>1050048</v>
      </c>
      <c r="P9" s="6">
        <f>[1]DVN!N99</f>
        <v>1027593</v>
      </c>
      <c r="Q9" s="6">
        <f>[1]DVN!O99</f>
        <v>1154847</v>
      </c>
      <c r="R9" s="6">
        <v>1012878</v>
      </c>
      <c r="S9" s="6">
        <v>942674</v>
      </c>
      <c r="T9" s="6">
        <v>1040367</v>
      </c>
      <c r="U9" s="6">
        <v>993625</v>
      </c>
      <c r="V9" s="6">
        <v>1063319</v>
      </c>
      <c r="W9" s="6">
        <v>1004780</v>
      </c>
      <c r="X9" s="6">
        <v>1042408</v>
      </c>
      <c r="Y9" s="6">
        <v>1088098</v>
      </c>
      <c r="Z9" s="6">
        <v>1030722</v>
      </c>
      <c r="AA9" s="6">
        <v>1108975</v>
      </c>
      <c r="AB9" s="6">
        <v>1064596</v>
      </c>
      <c r="AC9" s="6">
        <v>1217845</v>
      </c>
      <c r="AD9" s="6">
        <v>1036048</v>
      </c>
      <c r="AE9" s="6">
        <v>1001589</v>
      </c>
      <c r="AF9" s="6">
        <v>1058358</v>
      </c>
      <c r="AG9" s="6">
        <v>1025509</v>
      </c>
      <c r="AH9" s="6">
        <v>1066629</v>
      </c>
      <c r="AI9" s="6">
        <v>1039355</v>
      </c>
      <c r="AJ9" s="6">
        <v>1047928</v>
      </c>
      <c r="AK9" s="6">
        <v>1103631</v>
      </c>
      <c r="AL9" s="6">
        <v>1076323</v>
      </c>
      <c r="AM9" s="6">
        <v>1119480</v>
      </c>
      <c r="AN9" s="6">
        <v>1094885</v>
      </c>
      <c r="AO9" s="6">
        <v>1247473</v>
      </c>
      <c r="AP9" s="6">
        <v>1077219</v>
      </c>
      <c r="AQ9" s="6">
        <v>996494</v>
      </c>
      <c r="AR9" s="6">
        <v>1092847</v>
      </c>
      <c r="AS9" s="6">
        <v>1067297</v>
      </c>
      <c r="AT9" s="6">
        <v>1101549</v>
      </c>
      <c r="AU9" s="6">
        <v>1097158</v>
      </c>
      <c r="AV9" s="6">
        <v>1120652</v>
      </c>
      <c r="AW9" s="6">
        <v>1146925</v>
      </c>
      <c r="AX9" s="6">
        <v>1089840</v>
      </c>
      <c r="AY9" s="6">
        <v>1131273</v>
      </c>
      <c r="AZ9" s="6">
        <v>1119348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</row>
    <row r="10" spans="1:65" s="10" customFormat="1" hidden="1" x14ac:dyDescent="0.25">
      <c r="A10" s="8">
        <v>112</v>
      </c>
      <c r="B10" s="1">
        <f>VLOOKUP(E10,'[2]Peajes (1)'!$A:$D,4,0)</f>
        <v>3951</v>
      </c>
      <c r="C10" s="8" t="s">
        <v>175</v>
      </c>
      <c r="D10" s="8" t="s">
        <v>176</v>
      </c>
      <c r="E10" s="8" t="s">
        <v>28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1247498</v>
      </c>
      <c r="BB10" s="6">
        <v>1088479</v>
      </c>
      <c r="BC10" s="6">
        <v>1013585</v>
      </c>
      <c r="BD10" s="6">
        <v>1141929</v>
      </c>
      <c r="BE10" s="6">
        <v>1075302</v>
      </c>
      <c r="BF10" s="6">
        <v>1141293</v>
      </c>
      <c r="BG10" s="6">
        <v>1117738</v>
      </c>
      <c r="BH10" s="6">
        <v>1113533</v>
      </c>
      <c r="BI10" s="6">
        <v>1170456</v>
      </c>
      <c r="BJ10" s="6">
        <v>1109877</v>
      </c>
      <c r="BK10" s="6">
        <v>1131615</v>
      </c>
      <c r="BL10" s="6">
        <v>1097962</v>
      </c>
      <c r="BM10" s="6">
        <v>1245613</v>
      </c>
    </row>
    <row r="11" spans="1:65" s="10" customFormat="1" x14ac:dyDescent="0.25">
      <c r="A11" s="8">
        <v>112</v>
      </c>
      <c r="B11" s="1">
        <f>VLOOKUP(E11,'[2]Peajes (1)'!$A:$D,4,0)</f>
        <v>3951</v>
      </c>
      <c r="C11" s="8" t="s">
        <v>175</v>
      </c>
      <c r="D11" s="8" t="s">
        <v>176</v>
      </c>
      <c r="E11" s="8" t="s">
        <v>28</v>
      </c>
      <c r="F11" s="6">
        <f>SUM(F9:F10)</f>
        <v>951719</v>
      </c>
      <c r="G11" s="6">
        <f t="shared" ref="G11:BM11" si="0">SUM(G9:G10)</f>
        <v>896015</v>
      </c>
      <c r="H11" s="6">
        <f t="shared" si="0"/>
        <v>989585</v>
      </c>
      <c r="I11" s="6">
        <f t="shared" si="0"/>
        <v>940167</v>
      </c>
      <c r="J11" s="6">
        <f t="shared" si="0"/>
        <v>1001869</v>
      </c>
      <c r="K11" s="6">
        <f t="shared" si="0"/>
        <v>943065</v>
      </c>
      <c r="L11" s="6">
        <f t="shared" si="0"/>
        <v>969776</v>
      </c>
      <c r="M11" s="6">
        <f t="shared" si="0"/>
        <v>1041110</v>
      </c>
      <c r="N11" s="6">
        <f t="shared" si="0"/>
        <v>988229</v>
      </c>
      <c r="O11" s="6">
        <f t="shared" si="0"/>
        <v>1050048</v>
      </c>
      <c r="P11" s="6">
        <f t="shared" si="0"/>
        <v>1027593</v>
      </c>
      <c r="Q11" s="6">
        <f t="shared" si="0"/>
        <v>1154847</v>
      </c>
      <c r="R11" s="6">
        <f t="shared" si="0"/>
        <v>1012878</v>
      </c>
      <c r="S11" s="6">
        <f t="shared" si="0"/>
        <v>942674</v>
      </c>
      <c r="T11" s="6">
        <f t="shared" si="0"/>
        <v>1040367</v>
      </c>
      <c r="U11" s="6">
        <f t="shared" si="0"/>
        <v>993625</v>
      </c>
      <c r="V11" s="6">
        <f t="shared" si="0"/>
        <v>1063319</v>
      </c>
      <c r="W11" s="6">
        <f t="shared" si="0"/>
        <v>1004780</v>
      </c>
      <c r="X11" s="6">
        <f t="shared" si="0"/>
        <v>1042408</v>
      </c>
      <c r="Y11" s="6">
        <f t="shared" si="0"/>
        <v>1088098</v>
      </c>
      <c r="Z11" s="6">
        <f t="shared" si="0"/>
        <v>1030722</v>
      </c>
      <c r="AA11" s="6">
        <f t="shared" si="0"/>
        <v>1108975</v>
      </c>
      <c r="AB11" s="6">
        <f t="shared" si="0"/>
        <v>1064596</v>
      </c>
      <c r="AC11" s="6">
        <f t="shared" si="0"/>
        <v>1217845</v>
      </c>
      <c r="AD11" s="6">
        <f t="shared" si="0"/>
        <v>1036048</v>
      </c>
      <c r="AE11" s="6">
        <f t="shared" si="0"/>
        <v>1001589</v>
      </c>
      <c r="AF11" s="6">
        <f t="shared" si="0"/>
        <v>1058358</v>
      </c>
      <c r="AG11" s="6">
        <f t="shared" si="0"/>
        <v>1025509</v>
      </c>
      <c r="AH11" s="6">
        <f t="shared" si="0"/>
        <v>1066629</v>
      </c>
      <c r="AI11" s="6">
        <f t="shared" si="0"/>
        <v>1039355</v>
      </c>
      <c r="AJ11" s="6">
        <f t="shared" si="0"/>
        <v>1047928</v>
      </c>
      <c r="AK11" s="6">
        <f t="shared" si="0"/>
        <v>1103631</v>
      </c>
      <c r="AL11" s="6">
        <f t="shared" si="0"/>
        <v>1076323</v>
      </c>
      <c r="AM11" s="6">
        <f t="shared" si="0"/>
        <v>1119480</v>
      </c>
      <c r="AN11" s="6">
        <f t="shared" si="0"/>
        <v>1094885</v>
      </c>
      <c r="AO11" s="6">
        <f t="shared" si="0"/>
        <v>1247473</v>
      </c>
      <c r="AP11" s="6">
        <f t="shared" si="0"/>
        <v>1077219</v>
      </c>
      <c r="AQ11" s="6">
        <f t="shared" si="0"/>
        <v>996494</v>
      </c>
      <c r="AR11" s="6">
        <f t="shared" si="0"/>
        <v>1092847</v>
      </c>
      <c r="AS11" s="6">
        <f t="shared" si="0"/>
        <v>1067297</v>
      </c>
      <c r="AT11" s="6">
        <f t="shared" si="0"/>
        <v>1101549</v>
      </c>
      <c r="AU11" s="6">
        <f t="shared" si="0"/>
        <v>1097158</v>
      </c>
      <c r="AV11" s="6">
        <f t="shared" si="0"/>
        <v>1120652</v>
      </c>
      <c r="AW11" s="6">
        <f t="shared" si="0"/>
        <v>1146925</v>
      </c>
      <c r="AX11" s="6">
        <f t="shared" si="0"/>
        <v>1089840</v>
      </c>
      <c r="AY11" s="6">
        <f t="shared" si="0"/>
        <v>1131273</v>
      </c>
      <c r="AZ11" s="6">
        <f t="shared" si="0"/>
        <v>1119348</v>
      </c>
      <c r="BA11" s="6">
        <f t="shared" si="0"/>
        <v>1247498</v>
      </c>
      <c r="BB11" s="6">
        <f t="shared" si="0"/>
        <v>1088479</v>
      </c>
      <c r="BC11" s="6">
        <f t="shared" si="0"/>
        <v>1013585</v>
      </c>
      <c r="BD11" s="6">
        <f t="shared" si="0"/>
        <v>1141929</v>
      </c>
      <c r="BE11" s="6">
        <f t="shared" si="0"/>
        <v>1075302</v>
      </c>
      <c r="BF11" s="6">
        <f t="shared" si="0"/>
        <v>1141293</v>
      </c>
      <c r="BG11" s="6">
        <f t="shared" si="0"/>
        <v>1117738</v>
      </c>
      <c r="BH11" s="6">
        <f t="shared" si="0"/>
        <v>1113533</v>
      </c>
      <c r="BI11" s="6">
        <f t="shared" si="0"/>
        <v>1170456</v>
      </c>
      <c r="BJ11" s="6">
        <f t="shared" si="0"/>
        <v>1109877</v>
      </c>
      <c r="BK11" s="6">
        <f t="shared" si="0"/>
        <v>1131615</v>
      </c>
      <c r="BL11" s="6">
        <f t="shared" si="0"/>
        <v>1097962</v>
      </c>
      <c r="BM11" s="6">
        <f t="shared" si="0"/>
        <v>1245613</v>
      </c>
    </row>
    <row r="12" spans="1:65" x14ac:dyDescent="0.25">
      <c r="A12" s="1">
        <v>70</v>
      </c>
      <c r="B12" s="1">
        <f>VLOOKUP(E12,'[2]Peajes (1)'!$A:$D,4,0)</f>
        <v>3803</v>
      </c>
      <c r="C12" s="3" t="s">
        <v>100</v>
      </c>
      <c r="D12" s="3" t="s">
        <v>101</v>
      </c>
      <c r="E12" s="3" t="s">
        <v>102</v>
      </c>
      <c r="F12" s="6">
        <v>109202</v>
      </c>
      <c r="G12" s="6">
        <v>100594</v>
      </c>
      <c r="H12" s="6">
        <v>112870</v>
      </c>
      <c r="I12" s="6">
        <v>110187</v>
      </c>
      <c r="J12" s="6">
        <v>107831</v>
      </c>
      <c r="K12" s="6">
        <v>105540</v>
      </c>
      <c r="L12" s="6">
        <v>113205</v>
      </c>
      <c r="M12" s="6">
        <v>109642</v>
      </c>
      <c r="N12" s="6">
        <v>104981</v>
      </c>
      <c r="O12" s="6">
        <v>108231</v>
      </c>
      <c r="P12" s="6">
        <v>100211</v>
      </c>
      <c r="Q12" s="6">
        <v>113532</v>
      </c>
      <c r="R12" s="6">
        <v>111699</v>
      </c>
      <c r="S12" s="6">
        <v>100818</v>
      </c>
      <c r="T12" s="6">
        <v>112188</v>
      </c>
      <c r="U12" s="6">
        <v>109838</v>
      </c>
      <c r="V12" s="6">
        <v>109100</v>
      </c>
      <c r="W12" s="6">
        <v>110744</v>
      </c>
      <c r="X12" s="6">
        <v>115859</v>
      </c>
      <c r="Y12" s="6">
        <v>112491</v>
      </c>
      <c r="Z12" s="6">
        <v>109173</v>
      </c>
      <c r="AA12" s="6">
        <v>120348</v>
      </c>
      <c r="AB12" s="6">
        <v>112816</v>
      </c>
      <c r="AC12" s="6">
        <v>124717</v>
      </c>
      <c r="AD12" s="6">
        <v>116947</v>
      </c>
      <c r="AE12" s="6">
        <v>109844</v>
      </c>
      <c r="AF12" s="6">
        <v>119595</v>
      </c>
      <c r="AG12" s="6">
        <v>112577</v>
      </c>
      <c r="AH12" s="6">
        <v>111040</v>
      </c>
      <c r="AI12" s="6">
        <v>112857</v>
      </c>
      <c r="AJ12" s="6">
        <v>115163</v>
      </c>
      <c r="AK12" s="6">
        <v>118406</v>
      </c>
      <c r="AL12" s="6">
        <v>114666</v>
      </c>
      <c r="AM12" s="6">
        <v>116168</v>
      </c>
      <c r="AN12" s="6">
        <v>114654</v>
      </c>
      <c r="AO12" s="6">
        <v>128365</v>
      </c>
      <c r="AP12" s="6">
        <v>120043</v>
      </c>
      <c r="AQ12" s="6">
        <v>112217</v>
      </c>
      <c r="AR12" s="6">
        <v>121321</v>
      </c>
      <c r="AS12" s="6">
        <v>115142</v>
      </c>
      <c r="AT12" s="6">
        <v>116553</v>
      </c>
      <c r="AU12" s="6">
        <v>116578</v>
      </c>
      <c r="AV12" s="6">
        <v>115777</v>
      </c>
      <c r="AW12" s="6">
        <v>119746</v>
      </c>
      <c r="AX12" s="6">
        <v>114755</v>
      </c>
      <c r="AY12" s="6">
        <v>114142</v>
      </c>
      <c r="AZ12" s="6">
        <v>109888</v>
      </c>
      <c r="BA12" s="6">
        <v>119510</v>
      </c>
      <c r="BB12" s="6">
        <v>114486</v>
      </c>
      <c r="BC12" s="6">
        <v>104573</v>
      </c>
      <c r="BD12" s="6">
        <v>114730</v>
      </c>
      <c r="BE12" s="6">
        <v>113303</v>
      </c>
      <c r="BF12" s="6">
        <v>110741</v>
      </c>
      <c r="BG12" s="6">
        <v>109256</v>
      </c>
      <c r="BH12" s="6">
        <v>112698</v>
      </c>
      <c r="BI12" s="6">
        <v>110426</v>
      </c>
      <c r="BJ12" s="6">
        <v>104440</v>
      </c>
      <c r="BK12" s="6">
        <v>112553</v>
      </c>
      <c r="BL12" s="6">
        <v>107473</v>
      </c>
      <c r="BM12" s="6">
        <v>119082</v>
      </c>
    </row>
    <row r="13" spans="1:65" x14ac:dyDescent="0.25">
      <c r="A13" s="1">
        <v>10</v>
      </c>
      <c r="B13" s="1">
        <f>VLOOKUP(E13,'[2]Peajes (1)'!$A:$D,4,0)</f>
        <v>3910</v>
      </c>
      <c r="C13" s="3" t="s">
        <v>17</v>
      </c>
      <c r="D13" s="3" t="s">
        <v>18</v>
      </c>
      <c r="E13" s="3" t="s">
        <v>253</v>
      </c>
      <c r="F13" s="6">
        <v>398601</v>
      </c>
      <c r="G13" s="6">
        <v>284543</v>
      </c>
      <c r="H13" s="6">
        <v>338302</v>
      </c>
      <c r="I13" s="6">
        <v>364724</v>
      </c>
      <c r="J13" s="6">
        <v>331023</v>
      </c>
      <c r="K13" s="6">
        <v>360957</v>
      </c>
      <c r="L13" s="6">
        <v>345213</v>
      </c>
      <c r="M13" s="6">
        <v>359932</v>
      </c>
      <c r="N13" s="6">
        <v>318221</v>
      </c>
      <c r="O13" s="6">
        <v>368015</v>
      </c>
      <c r="P13" s="6">
        <v>352255</v>
      </c>
      <c r="Q13" s="6">
        <v>417798</v>
      </c>
      <c r="R13" s="6">
        <v>419190</v>
      </c>
      <c r="S13" s="6">
        <v>294062</v>
      </c>
      <c r="T13" s="6">
        <v>341021</v>
      </c>
      <c r="U13" s="6">
        <v>340902</v>
      </c>
      <c r="V13" s="6">
        <v>344739</v>
      </c>
      <c r="W13" s="6">
        <v>383301</v>
      </c>
      <c r="X13" s="6">
        <v>385865</v>
      </c>
      <c r="Y13" s="6">
        <v>380891</v>
      </c>
      <c r="Z13" s="6">
        <v>335638</v>
      </c>
      <c r="AA13" s="6">
        <v>394850</v>
      </c>
      <c r="AB13" s="6">
        <v>368315</v>
      </c>
      <c r="AC13" s="6">
        <v>447213</v>
      </c>
      <c r="AD13" s="6">
        <v>438592</v>
      </c>
      <c r="AE13" s="6">
        <v>313211</v>
      </c>
      <c r="AF13" s="6">
        <v>374909</v>
      </c>
      <c r="AG13" s="6">
        <v>304595</v>
      </c>
      <c r="AH13" s="6">
        <v>340728</v>
      </c>
      <c r="AI13" s="6">
        <v>336393</v>
      </c>
      <c r="AJ13" s="6">
        <v>356542</v>
      </c>
      <c r="AK13" s="6">
        <v>343649</v>
      </c>
      <c r="AL13" s="6">
        <v>317735</v>
      </c>
      <c r="AM13" s="6">
        <v>370791</v>
      </c>
      <c r="AN13" s="6">
        <v>351529</v>
      </c>
      <c r="AO13" s="6">
        <v>416282</v>
      </c>
      <c r="AP13" s="6">
        <v>425435</v>
      </c>
      <c r="AQ13" s="6">
        <v>293575</v>
      </c>
      <c r="AR13" s="6">
        <v>337402</v>
      </c>
      <c r="AS13" s="6">
        <v>364911</v>
      </c>
      <c r="AT13" s="6">
        <v>329019</v>
      </c>
      <c r="AU13" s="6">
        <v>335360</v>
      </c>
      <c r="AV13" s="6">
        <v>338691</v>
      </c>
      <c r="AW13" s="6">
        <v>355197</v>
      </c>
      <c r="AX13" s="6">
        <v>313881</v>
      </c>
      <c r="AY13" s="6">
        <v>366877</v>
      </c>
      <c r="AZ13" s="6">
        <v>347121</v>
      </c>
      <c r="BA13" s="6">
        <v>432254</v>
      </c>
      <c r="BB13" s="6">
        <v>424730</v>
      </c>
      <c r="BC13" s="6">
        <v>267356</v>
      </c>
      <c r="BD13" s="6">
        <v>362131</v>
      </c>
      <c r="BE13" s="6">
        <v>319917</v>
      </c>
      <c r="BF13" s="6">
        <v>309874</v>
      </c>
      <c r="BG13" s="6">
        <v>347000</v>
      </c>
      <c r="BH13" s="6">
        <v>341511</v>
      </c>
      <c r="BI13" s="6">
        <v>299331</v>
      </c>
      <c r="BJ13" s="6">
        <v>283197</v>
      </c>
      <c r="BK13" s="6">
        <v>348864</v>
      </c>
      <c r="BL13" s="6">
        <v>344823</v>
      </c>
      <c r="BM13" s="6">
        <v>419129</v>
      </c>
    </row>
    <row r="14" spans="1:65" x14ac:dyDescent="0.25">
      <c r="A14" s="1">
        <v>109</v>
      </c>
      <c r="B14" s="1">
        <f>VLOOKUP(E14,'[2]Peajes (1)'!$A:$D,4,0)</f>
        <v>8405</v>
      </c>
      <c r="C14" s="3" t="s">
        <v>170</v>
      </c>
      <c r="D14" s="3" t="s">
        <v>171</v>
      </c>
      <c r="E14" s="3" t="s">
        <v>172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</row>
    <row r="15" spans="1:65" x14ac:dyDescent="0.25">
      <c r="A15" s="1">
        <v>115</v>
      </c>
      <c r="B15" s="1">
        <f>VLOOKUP(E15,'[2]Peajes (1)'!$A:$D,4,0)</f>
        <v>3934</v>
      </c>
      <c r="C15" s="3" t="s">
        <v>177</v>
      </c>
      <c r="D15" s="3" t="s">
        <v>178</v>
      </c>
      <c r="E15" s="3" t="s">
        <v>179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3547</v>
      </c>
      <c r="AK15" s="6">
        <v>49557</v>
      </c>
      <c r="AL15" s="6">
        <v>42476</v>
      </c>
      <c r="AM15" s="6">
        <v>50342</v>
      </c>
      <c r="AN15" s="6">
        <v>51221</v>
      </c>
      <c r="AO15" s="6">
        <v>66137</v>
      </c>
      <c r="AP15" s="6">
        <v>93993</v>
      </c>
      <c r="AQ15" s="6">
        <v>44188</v>
      </c>
      <c r="AR15" s="6">
        <v>49278</v>
      </c>
      <c r="AS15" s="6">
        <v>72143</v>
      </c>
      <c r="AT15" s="6">
        <v>43842</v>
      </c>
      <c r="AU15" s="6">
        <v>52479</v>
      </c>
      <c r="AV15" s="6">
        <v>53262</v>
      </c>
      <c r="AW15" s="6">
        <v>49658</v>
      </c>
      <c r="AX15" s="6">
        <v>41637</v>
      </c>
      <c r="AY15" s="6">
        <v>48107</v>
      </c>
      <c r="AZ15" s="6">
        <v>47349</v>
      </c>
      <c r="BA15" s="6">
        <v>62243</v>
      </c>
      <c r="BB15" s="6">
        <v>89593</v>
      </c>
      <c r="BC15" s="6">
        <v>40293</v>
      </c>
      <c r="BD15" s="6">
        <v>61388</v>
      </c>
      <c r="BE15" s="6">
        <v>43498</v>
      </c>
      <c r="BF15" s="6">
        <v>42288</v>
      </c>
      <c r="BG15" s="6">
        <v>55883</v>
      </c>
      <c r="BH15" s="6">
        <v>54090</v>
      </c>
      <c r="BI15" s="6">
        <v>46704</v>
      </c>
      <c r="BJ15" s="6">
        <v>39637</v>
      </c>
      <c r="BK15" s="6">
        <v>46811</v>
      </c>
      <c r="BL15" s="6">
        <v>44025</v>
      </c>
      <c r="BM15" s="6">
        <v>60317</v>
      </c>
    </row>
    <row r="16" spans="1:65" x14ac:dyDescent="0.25">
      <c r="A16" s="1">
        <v>8</v>
      </c>
      <c r="B16" s="1">
        <f>VLOOKUP(E16,'[2]Peajes (1)'!$A:$D,4,0)</f>
        <v>3868</v>
      </c>
      <c r="C16" s="3" t="s">
        <v>13</v>
      </c>
      <c r="D16" s="3" t="s">
        <v>14</v>
      </c>
      <c r="E16" s="3" t="s">
        <v>237</v>
      </c>
      <c r="F16" s="6">
        <v>224888</v>
      </c>
      <c r="G16" s="6">
        <v>120383</v>
      </c>
      <c r="H16" s="6">
        <v>145295</v>
      </c>
      <c r="I16" s="6">
        <v>176230</v>
      </c>
      <c r="J16" s="6">
        <v>131531</v>
      </c>
      <c r="K16" s="6">
        <v>172028</v>
      </c>
      <c r="L16" s="6">
        <v>154292</v>
      </c>
      <c r="M16" s="6">
        <v>168312</v>
      </c>
      <c r="N16" s="6">
        <v>134469</v>
      </c>
      <c r="O16" s="6">
        <v>168944</v>
      </c>
      <c r="P16" s="6">
        <v>149868</v>
      </c>
      <c r="Q16" s="6">
        <v>227832</v>
      </c>
      <c r="R16" s="6">
        <v>245170</v>
      </c>
      <c r="S16" s="6">
        <v>131099</v>
      </c>
      <c r="T16" s="6">
        <v>162746</v>
      </c>
      <c r="U16" s="6">
        <v>171929</v>
      </c>
      <c r="V16" s="6">
        <v>166467</v>
      </c>
      <c r="W16" s="6">
        <v>200588</v>
      </c>
      <c r="X16" s="6">
        <v>184181</v>
      </c>
      <c r="Y16" s="6">
        <v>193742</v>
      </c>
      <c r="Z16" s="6">
        <v>152850</v>
      </c>
      <c r="AA16" s="6">
        <v>195163</v>
      </c>
      <c r="AB16" s="6">
        <v>179680</v>
      </c>
      <c r="AC16" s="6">
        <v>262196</v>
      </c>
      <c r="AD16" s="6">
        <v>275069</v>
      </c>
      <c r="AE16" s="6">
        <v>142564</v>
      </c>
      <c r="AF16" s="6">
        <v>208017</v>
      </c>
      <c r="AG16" s="6">
        <v>143959</v>
      </c>
      <c r="AH16" s="6">
        <v>175161</v>
      </c>
      <c r="AI16" s="6">
        <v>184340</v>
      </c>
      <c r="AJ16" s="6">
        <v>211533</v>
      </c>
      <c r="AK16" s="6">
        <v>186802</v>
      </c>
      <c r="AL16" s="6">
        <v>159077</v>
      </c>
      <c r="AM16" s="6">
        <v>200521</v>
      </c>
      <c r="AN16" s="6">
        <v>191994</v>
      </c>
      <c r="AO16" s="6">
        <v>258301</v>
      </c>
      <c r="AP16" s="6">
        <v>286669</v>
      </c>
      <c r="AQ16" s="6">
        <v>148527</v>
      </c>
      <c r="AR16" s="6">
        <v>171179</v>
      </c>
      <c r="AS16" s="6">
        <v>212898</v>
      </c>
      <c r="AT16" s="6">
        <v>169956</v>
      </c>
      <c r="AU16" s="6">
        <v>207393</v>
      </c>
      <c r="AV16" s="6">
        <v>212554</v>
      </c>
      <c r="AW16" s="6">
        <v>203939</v>
      </c>
      <c r="AX16" s="6">
        <v>165310</v>
      </c>
      <c r="AY16" s="6">
        <v>208133</v>
      </c>
      <c r="AZ16" s="6">
        <v>195904</v>
      </c>
      <c r="BA16" s="6">
        <v>282903</v>
      </c>
      <c r="BB16" s="6">
        <v>297080</v>
      </c>
      <c r="BC16" s="6">
        <v>153451</v>
      </c>
      <c r="BD16" s="6">
        <v>219167</v>
      </c>
      <c r="BE16" s="6">
        <v>176086</v>
      </c>
      <c r="BF16" s="6">
        <v>176462</v>
      </c>
      <c r="BG16" s="6">
        <v>214556</v>
      </c>
      <c r="BH16" s="6">
        <v>226198</v>
      </c>
      <c r="BI16" s="6">
        <v>207882</v>
      </c>
      <c r="BJ16" s="6">
        <v>173691</v>
      </c>
      <c r="BK16" s="6">
        <v>208560</v>
      </c>
      <c r="BL16" s="6">
        <v>203104</v>
      </c>
      <c r="BM16" s="6">
        <v>282390</v>
      </c>
    </row>
    <row r="17" spans="1:65" x14ac:dyDescent="0.25">
      <c r="A17" s="1">
        <v>143</v>
      </c>
      <c r="B17" s="1">
        <f>VLOOKUP(E17,'[2]Peajes (1)'!$A:$D,4,0)</f>
        <v>3950</v>
      </c>
      <c r="C17" s="3" t="s">
        <v>212</v>
      </c>
      <c r="D17" s="3" t="s">
        <v>213</v>
      </c>
      <c r="E17" s="3" t="s">
        <v>214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33197</v>
      </c>
      <c r="Z17" s="6">
        <v>74864</v>
      </c>
      <c r="AA17" s="6">
        <v>84112</v>
      </c>
      <c r="AB17" s="6">
        <v>79638</v>
      </c>
      <c r="AC17" s="6">
        <v>96889</v>
      </c>
      <c r="AD17" s="6">
        <v>97215</v>
      </c>
      <c r="AE17" s="6">
        <v>75682</v>
      </c>
      <c r="AF17" s="6">
        <v>91891</v>
      </c>
      <c r="AG17" s="6">
        <v>72393</v>
      </c>
      <c r="AH17" s="6">
        <v>79594</v>
      </c>
      <c r="AI17" s="6">
        <v>76838</v>
      </c>
      <c r="AJ17" s="6">
        <v>80567</v>
      </c>
      <c r="AK17" s="6">
        <v>80841</v>
      </c>
      <c r="AL17" s="6">
        <v>75210</v>
      </c>
      <c r="AM17" s="6">
        <v>81702</v>
      </c>
      <c r="AN17" s="6">
        <v>78547</v>
      </c>
      <c r="AO17" s="6">
        <v>95384</v>
      </c>
      <c r="AP17" s="6">
        <v>94195</v>
      </c>
      <c r="AQ17" s="6">
        <v>71657</v>
      </c>
      <c r="AR17" s="6">
        <v>77186</v>
      </c>
      <c r="AS17" s="6">
        <v>86347</v>
      </c>
      <c r="AT17" s="6">
        <v>77171</v>
      </c>
      <c r="AU17" s="6">
        <v>80663</v>
      </c>
      <c r="AV17" s="6">
        <v>82001</v>
      </c>
      <c r="AW17" s="6">
        <v>79233</v>
      </c>
      <c r="AX17" s="6">
        <v>73119</v>
      </c>
      <c r="AY17" s="6">
        <v>79983</v>
      </c>
      <c r="AZ17" s="6">
        <v>79683</v>
      </c>
      <c r="BA17" s="6">
        <v>95836</v>
      </c>
      <c r="BB17" s="6">
        <v>92602</v>
      </c>
      <c r="BC17" s="6">
        <v>68229</v>
      </c>
      <c r="BD17" s="6">
        <v>83621</v>
      </c>
      <c r="BE17" s="6">
        <v>76497</v>
      </c>
      <c r="BF17" s="6">
        <v>71417</v>
      </c>
      <c r="BG17" s="6">
        <v>71198</v>
      </c>
      <c r="BH17" s="6">
        <v>78782</v>
      </c>
      <c r="BI17" s="6">
        <v>76131</v>
      </c>
      <c r="BJ17" s="6">
        <v>71013</v>
      </c>
      <c r="BK17" s="6">
        <v>77759</v>
      </c>
      <c r="BL17" s="6">
        <v>76433</v>
      </c>
      <c r="BM17" s="6">
        <v>92234</v>
      </c>
    </row>
    <row r="18" spans="1:65" x14ac:dyDescent="0.25">
      <c r="A18" s="1">
        <v>110</v>
      </c>
      <c r="B18" s="1">
        <f>VLOOKUP(E18,'[2]Peajes (1)'!$A:$D,4,0)</f>
        <v>3987</v>
      </c>
      <c r="C18" s="3" t="s">
        <v>170</v>
      </c>
      <c r="D18" s="3" t="s">
        <v>171</v>
      </c>
      <c r="E18" s="3" t="s">
        <v>173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3637</v>
      </c>
      <c r="BC18" s="6">
        <v>8251</v>
      </c>
      <c r="BD18" s="6">
        <v>8460</v>
      </c>
      <c r="BE18" s="6">
        <v>6788</v>
      </c>
      <c r="BF18" s="6">
        <v>6573</v>
      </c>
      <c r="BG18" s="6">
        <v>8637</v>
      </c>
      <c r="BH18" s="6">
        <v>9907</v>
      </c>
      <c r="BI18" s="6">
        <v>11241</v>
      </c>
      <c r="BJ18" s="6">
        <v>10839</v>
      </c>
      <c r="BK18" s="6">
        <v>13427</v>
      </c>
      <c r="BL18" s="6">
        <v>13785</v>
      </c>
      <c r="BM18" s="6">
        <v>22697</v>
      </c>
    </row>
    <row r="19" spans="1:65" x14ac:dyDescent="0.25">
      <c r="A19" s="1">
        <v>67</v>
      </c>
      <c r="B19" s="1">
        <f>VLOOKUP(E19,'[2]Peajes (1)'!$A:$D,4,0)</f>
        <v>3862</v>
      </c>
      <c r="C19" s="3" t="s">
        <v>95</v>
      </c>
      <c r="D19" s="3" t="s">
        <v>96</v>
      </c>
      <c r="E19" s="3" t="s">
        <v>97</v>
      </c>
      <c r="F19" s="6">
        <v>67817</v>
      </c>
      <c r="G19" s="6">
        <v>43655</v>
      </c>
      <c r="H19" s="6">
        <v>47269</v>
      </c>
      <c r="I19" s="6">
        <v>54671</v>
      </c>
      <c r="J19" s="6">
        <v>44865</v>
      </c>
      <c r="K19" s="6">
        <v>50259</v>
      </c>
      <c r="L19" s="6">
        <v>57521</v>
      </c>
      <c r="M19" s="6">
        <v>54601</v>
      </c>
      <c r="N19" s="6">
        <v>46756</v>
      </c>
      <c r="O19" s="6">
        <v>52681</v>
      </c>
      <c r="P19" s="6">
        <v>49700</v>
      </c>
      <c r="Q19" s="6">
        <v>64772</v>
      </c>
      <c r="R19" s="6">
        <v>73938</v>
      </c>
      <c r="S19" s="6">
        <v>45961</v>
      </c>
      <c r="T19" s="6">
        <v>51483</v>
      </c>
      <c r="U19" s="6">
        <v>56831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</row>
    <row r="20" spans="1:65" x14ac:dyDescent="0.25">
      <c r="A20" s="1">
        <v>152</v>
      </c>
      <c r="B20" s="1">
        <f>VLOOKUP(E20,'[2]Peajes (1)'!$A:$D,4,0)</f>
        <v>3990</v>
      </c>
      <c r="C20" s="3" t="s">
        <v>228</v>
      </c>
      <c r="D20" s="3" t="s">
        <v>229</v>
      </c>
      <c r="E20" s="3" t="s">
        <v>230</v>
      </c>
      <c r="F20" s="6">
        <v>284577</v>
      </c>
      <c r="G20" s="6">
        <v>208941</v>
      </c>
      <c r="H20" s="6">
        <v>236367</v>
      </c>
      <c r="I20" s="6">
        <v>260080</v>
      </c>
      <c r="J20" s="6">
        <v>254481</v>
      </c>
      <c r="K20" s="6">
        <v>265546</v>
      </c>
      <c r="L20" s="6">
        <v>250496</v>
      </c>
      <c r="M20" s="6">
        <v>265160</v>
      </c>
      <c r="N20" s="6">
        <v>229286</v>
      </c>
      <c r="O20" s="6">
        <v>264958</v>
      </c>
      <c r="P20" s="6">
        <v>260279</v>
      </c>
      <c r="Q20" s="6">
        <v>301745</v>
      </c>
      <c r="R20" s="6">
        <v>305992</v>
      </c>
      <c r="S20" s="6">
        <v>219941</v>
      </c>
      <c r="T20" s="6">
        <v>249441</v>
      </c>
      <c r="U20" s="6">
        <v>267239</v>
      </c>
      <c r="V20" s="6">
        <v>260961</v>
      </c>
      <c r="W20" s="6">
        <v>286119</v>
      </c>
      <c r="X20" s="6">
        <v>274330</v>
      </c>
      <c r="Y20" s="6">
        <v>282357</v>
      </c>
      <c r="Z20" s="6">
        <v>240936</v>
      </c>
      <c r="AA20" s="6">
        <v>286899</v>
      </c>
      <c r="AB20" s="6">
        <v>272654</v>
      </c>
      <c r="AC20" s="6">
        <v>330610</v>
      </c>
      <c r="AD20" s="6">
        <v>327300</v>
      </c>
      <c r="AE20" s="6">
        <v>238905</v>
      </c>
      <c r="AF20" s="6">
        <v>300428</v>
      </c>
      <c r="AG20" s="6">
        <v>243465</v>
      </c>
      <c r="AH20" s="6">
        <v>273766</v>
      </c>
      <c r="AI20" s="6">
        <v>266477</v>
      </c>
      <c r="AJ20" s="6">
        <v>277834</v>
      </c>
      <c r="AK20" s="6">
        <v>285758</v>
      </c>
      <c r="AL20" s="6">
        <v>252833</v>
      </c>
      <c r="AM20" s="6">
        <v>293486</v>
      </c>
      <c r="AN20" s="6">
        <v>275877</v>
      </c>
      <c r="AO20" s="6">
        <v>321201</v>
      </c>
      <c r="AP20" s="6">
        <v>324035</v>
      </c>
      <c r="AQ20" s="6">
        <v>234534</v>
      </c>
      <c r="AR20" s="6">
        <v>259241</v>
      </c>
      <c r="AS20" s="6">
        <v>292700</v>
      </c>
      <c r="AT20" s="6">
        <v>257951</v>
      </c>
      <c r="AU20" s="6">
        <v>274204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</row>
    <row r="21" spans="1:65" x14ac:dyDescent="0.25">
      <c r="A21" s="1">
        <v>129</v>
      </c>
      <c r="B21" s="1">
        <f>VLOOKUP(E21,'[2]Peajes (1)'!$A:$D,4,0)</f>
        <v>3876</v>
      </c>
      <c r="C21" s="3" t="s">
        <v>195</v>
      </c>
      <c r="D21" s="3" t="s">
        <v>196</v>
      </c>
      <c r="E21" s="3" t="s">
        <v>197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0</v>
      </c>
      <c r="AE21" s="6">
        <v>0</v>
      </c>
      <c r="AF21" s="6">
        <v>0</v>
      </c>
      <c r="AG21" s="6">
        <v>21976</v>
      </c>
      <c r="AH21" s="6">
        <v>49665</v>
      </c>
      <c r="AI21" s="6">
        <v>49647</v>
      </c>
      <c r="AJ21" s="6">
        <v>46622</v>
      </c>
      <c r="AK21" s="6">
        <v>50142</v>
      </c>
      <c r="AL21" s="6">
        <v>48386</v>
      </c>
      <c r="AM21" s="6">
        <v>49909</v>
      </c>
      <c r="AN21" s="6">
        <v>45965</v>
      </c>
      <c r="AO21" s="6">
        <v>48549</v>
      </c>
      <c r="AP21" s="6">
        <v>50731</v>
      </c>
      <c r="AQ21" s="6">
        <v>39874</v>
      </c>
      <c r="AR21" s="6">
        <v>47595</v>
      </c>
      <c r="AS21" s="6">
        <v>44290</v>
      </c>
      <c r="AT21" s="6">
        <v>45402</v>
      </c>
      <c r="AU21" s="6">
        <v>43182</v>
      </c>
      <c r="AV21" s="6">
        <v>45724</v>
      </c>
      <c r="AW21" s="6">
        <v>46728</v>
      </c>
      <c r="AX21" s="6">
        <v>43638</v>
      </c>
      <c r="AY21" s="6">
        <v>45390</v>
      </c>
      <c r="AZ21" s="6">
        <v>46533</v>
      </c>
      <c r="BA21" s="6">
        <v>49919</v>
      </c>
      <c r="BB21" s="6">
        <v>50357</v>
      </c>
      <c r="BC21" s="6">
        <v>39248</v>
      </c>
      <c r="BD21" s="6">
        <v>45629</v>
      </c>
      <c r="BE21" s="6">
        <v>44563</v>
      </c>
      <c r="BF21" s="6">
        <v>47445</v>
      </c>
      <c r="BG21" s="6">
        <v>44219</v>
      </c>
      <c r="BH21" s="6">
        <v>45197</v>
      </c>
      <c r="BI21" s="6">
        <v>45865</v>
      </c>
      <c r="BJ21" s="6">
        <v>44774</v>
      </c>
      <c r="BK21" s="6">
        <v>50777</v>
      </c>
      <c r="BL21" s="6">
        <v>50660</v>
      </c>
      <c r="BM21" s="6">
        <v>54076</v>
      </c>
    </row>
    <row r="22" spans="1:65" s="10" customFormat="1" x14ac:dyDescent="0.25">
      <c r="A22" s="1">
        <v>38</v>
      </c>
      <c r="B22" s="1">
        <f>VLOOKUP(E22,'[2]Peajes (1)'!$A:$D,4,0)</f>
        <v>5604</v>
      </c>
      <c r="C22" s="3" t="s">
        <v>59</v>
      </c>
      <c r="D22" s="3" t="s">
        <v>60</v>
      </c>
      <c r="E22" s="3" t="s">
        <v>61</v>
      </c>
      <c r="F22" s="6">
        <v>154651</v>
      </c>
      <c r="G22" s="6">
        <v>144205</v>
      </c>
      <c r="H22" s="6">
        <v>158188</v>
      </c>
      <c r="I22" s="6">
        <v>154615</v>
      </c>
      <c r="J22" s="6">
        <v>162314</v>
      </c>
      <c r="K22" s="6">
        <v>151249</v>
      </c>
      <c r="L22" s="6">
        <v>164740</v>
      </c>
      <c r="M22" s="6">
        <v>164333</v>
      </c>
      <c r="N22" s="6">
        <v>156285</v>
      </c>
      <c r="O22" s="6">
        <v>163388</v>
      </c>
      <c r="P22" s="6">
        <v>156666</v>
      </c>
      <c r="Q22" s="6">
        <v>181738</v>
      </c>
      <c r="R22" s="6">
        <v>161923</v>
      </c>
      <c r="S22" s="6">
        <v>150848</v>
      </c>
      <c r="T22" s="6">
        <v>174682</v>
      </c>
      <c r="U22" s="6">
        <v>178724</v>
      </c>
      <c r="V22" s="6">
        <v>191289</v>
      </c>
      <c r="W22" s="6">
        <v>197030</v>
      </c>
      <c r="X22" s="6">
        <v>218105</v>
      </c>
      <c r="Y22" s="6">
        <v>210892</v>
      </c>
      <c r="Z22" s="6">
        <v>202058</v>
      </c>
      <c r="AA22" s="6">
        <v>212934</v>
      </c>
      <c r="AB22" s="6">
        <v>200265</v>
      </c>
      <c r="AC22" s="6">
        <v>221845</v>
      </c>
      <c r="AD22" s="6">
        <v>193386</v>
      </c>
      <c r="AE22" s="6">
        <v>187246</v>
      </c>
      <c r="AF22" s="6">
        <v>192522</v>
      </c>
      <c r="AG22" s="6">
        <v>182076</v>
      </c>
      <c r="AH22" s="6">
        <v>191077</v>
      </c>
      <c r="AI22" s="6">
        <v>189967</v>
      </c>
      <c r="AJ22" s="6">
        <v>194543</v>
      </c>
      <c r="AK22" s="6">
        <v>196328</v>
      </c>
      <c r="AL22" s="6">
        <v>187201</v>
      </c>
      <c r="AM22" s="6">
        <v>190355</v>
      </c>
      <c r="AN22" s="6">
        <v>189018</v>
      </c>
      <c r="AO22" s="6">
        <v>214907</v>
      </c>
      <c r="AP22" s="6">
        <v>185391</v>
      </c>
      <c r="AQ22" s="6">
        <v>173832</v>
      </c>
      <c r="AR22" s="6">
        <v>191149</v>
      </c>
      <c r="AS22" s="6">
        <v>179839</v>
      </c>
      <c r="AT22" s="6">
        <v>188959</v>
      </c>
      <c r="AU22" s="6">
        <v>191107</v>
      </c>
      <c r="AV22" s="6">
        <v>190810</v>
      </c>
      <c r="AW22" s="6">
        <v>190978</v>
      </c>
      <c r="AX22" s="6">
        <v>174896</v>
      </c>
      <c r="AY22" s="6">
        <v>176829</v>
      </c>
      <c r="AZ22" s="6">
        <v>180142</v>
      </c>
      <c r="BA22" s="6">
        <v>204181</v>
      </c>
      <c r="BB22" s="6">
        <v>177434</v>
      </c>
      <c r="BC22" s="6">
        <v>163238</v>
      </c>
      <c r="BD22" s="6">
        <v>181611</v>
      </c>
      <c r="BE22" s="6">
        <v>176809</v>
      </c>
      <c r="BF22" s="6">
        <v>184195</v>
      </c>
      <c r="BG22" s="6">
        <v>183256</v>
      </c>
      <c r="BH22" s="6">
        <v>188432</v>
      </c>
      <c r="BI22" s="6">
        <v>193895</v>
      </c>
      <c r="BJ22" s="6">
        <v>187396</v>
      </c>
      <c r="BK22" s="6">
        <v>195956</v>
      </c>
      <c r="BL22" s="6">
        <v>0</v>
      </c>
      <c r="BM22" s="6">
        <v>0</v>
      </c>
    </row>
    <row r="23" spans="1:65" s="10" customFormat="1" x14ac:dyDescent="0.25">
      <c r="A23" s="1">
        <v>66</v>
      </c>
      <c r="B23" s="1">
        <f>VLOOKUP(E23,'[2]Peajes (1)'!$A:$D,4,0)</f>
        <v>3919</v>
      </c>
      <c r="C23" s="3" t="s">
        <v>92</v>
      </c>
      <c r="D23" s="3" t="s">
        <v>93</v>
      </c>
      <c r="E23" s="3" t="s">
        <v>94</v>
      </c>
      <c r="F23" s="6">
        <v>301144</v>
      </c>
      <c r="G23" s="6">
        <v>243489</v>
      </c>
      <c r="H23" s="6">
        <v>270925</v>
      </c>
      <c r="I23" s="6">
        <v>283507</v>
      </c>
      <c r="J23" s="6">
        <v>272603</v>
      </c>
      <c r="K23" s="6">
        <v>271049</v>
      </c>
      <c r="L23" s="6">
        <v>287506</v>
      </c>
      <c r="M23" s="6">
        <v>292085</v>
      </c>
      <c r="N23" s="6">
        <v>268419</v>
      </c>
      <c r="O23" s="6">
        <v>294105</v>
      </c>
      <c r="P23" s="6">
        <v>286953</v>
      </c>
      <c r="Q23" s="6">
        <v>335334</v>
      </c>
      <c r="R23" s="6">
        <v>327833</v>
      </c>
      <c r="S23" s="6">
        <v>259947</v>
      </c>
      <c r="T23" s="6">
        <v>285783</v>
      </c>
      <c r="U23" s="6">
        <v>293892</v>
      </c>
      <c r="V23" s="6">
        <v>293130</v>
      </c>
      <c r="W23" s="6">
        <v>300403</v>
      </c>
      <c r="X23" s="6">
        <v>314756</v>
      </c>
      <c r="Y23" s="6">
        <v>316048</v>
      </c>
      <c r="Z23" s="6">
        <v>293920</v>
      </c>
      <c r="AA23" s="6">
        <v>314452</v>
      </c>
      <c r="AB23" s="6">
        <v>307040</v>
      </c>
      <c r="AC23" s="6">
        <v>360845</v>
      </c>
      <c r="AD23" s="6">
        <v>356980</v>
      </c>
      <c r="AE23" s="6">
        <v>285596</v>
      </c>
      <c r="AF23" s="6">
        <v>331024</v>
      </c>
      <c r="AG23" s="6">
        <v>290987</v>
      </c>
      <c r="AH23" s="6">
        <v>310210</v>
      </c>
      <c r="AI23" s="6">
        <v>293582</v>
      </c>
      <c r="AJ23" s="6">
        <v>317057</v>
      </c>
      <c r="AK23" s="6">
        <v>338022</v>
      </c>
      <c r="AL23" s="6">
        <v>303469</v>
      </c>
      <c r="AM23" s="6">
        <v>324704</v>
      </c>
      <c r="AN23" s="6">
        <v>320480</v>
      </c>
      <c r="AO23" s="6">
        <v>370572</v>
      </c>
      <c r="AP23" s="6">
        <v>363602</v>
      </c>
      <c r="AQ23" s="6">
        <v>280679</v>
      </c>
      <c r="AR23" s="6">
        <v>310083</v>
      </c>
      <c r="AS23" s="6">
        <v>321846</v>
      </c>
      <c r="AT23" s="6">
        <v>306255</v>
      </c>
      <c r="AU23" s="6">
        <v>316907</v>
      </c>
      <c r="AV23" s="6">
        <v>336180</v>
      </c>
      <c r="AW23" s="6">
        <v>332104</v>
      </c>
      <c r="AX23" s="6">
        <v>301762</v>
      </c>
      <c r="AY23" s="6">
        <v>324844</v>
      </c>
      <c r="AZ23" s="6">
        <v>323003</v>
      </c>
      <c r="BA23" s="6">
        <v>380663</v>
      </c>
      <c r="BB23" s="6">
        <v>365220</v>
      </c>
      <c r="BC23" s="6">
        <v>270068</v>
      </c>
      <c r="BD23" s="6">
        <v>318382</v>
      </c>
      <c r="BE23" s="6">
        <v>297504</v>
      </c>
      <c r="BF23" s="6">
        <v>296904</v>
      </c>
      <c r="BG23" s="6">
        <v>304340</v>
      </c>
      <c r="BH23" s="6">
        <v>329930</v>
      </c>
      <c r="BI23" s="6">
        <v>328785</v>
      </c>
      <c r="BJ23" s="6">
        <v>297487</v>
      </c>
      <c r="BK23" s="6">
        <v>319386</v>
      </c>
      <c r="BL23" s="6">
        <v>314930</v>
      </c>
      <c r="BM23" s="6">
        <v>366352</v>
      </c>
    </row>
    <row r="24" spans="1:65" x14ac:dyDescent="0.25">
      <c r="A24" s="1">
        <v>64</v>
      </c>
      <c r="B24" s="1">
        <f>VLOOKUP(E24,'[2]Peajes (1)'!$A:$D,4,0)</f>
        <v>3923</v>
      </c>
      <c r="C24" s="3" t="s">
        <v>88</v>
      </c>
      <c r="D24" s="3" t="s">
        <v>89</v>
      </c>
      <c r="E24" s="3" t="s">
        <v>90</v>
      </c>
      <c r="F24" s="6">
        <v>297468</v>
      </c>
      <c r="G24" s="6">
        <v>207631</v>
      </c>
      <c r="H24" s="6">
        <v>230053</v>
      </c>
      <c r="I24" s="6">
        <v>266398</v>
      </c>
      <c r="J24" s="6">
        <v>232042</v>
      </c>
      <c r="K24" s="6">
        <v>257946</v>
      </c>
      <c r="L24" s="6">
        <v>258938</v>
      </c>
      <c r="M24" s="6">
        <v>257300</v>
      </c>
      <c r="N24" s="6">
        <v>228038</v>
      </c>
      <c r="O24" s="6">
        <v>263537</v>
      </c>
      <c r="P24" s="6">
        <v>262524</v>
      </c>
      <c r="Q24" s="6">
        <v>321056</v>
      </c>
      <c r="R24" s="6">
        <v>320658</v>
      </c>
      <c r="S24" s="6">
        <v>217308</v>
      </c>
      <c r="T24" s="6">
        <v>246674</v>
      </c>
      <c r="U24" s="6">
        <v>259181</v>
      </c>
      <c r="V24" s="6">
        <v>248290</v>
      </c>
      <c r="W24" s="6">
        <v>287260</v>
      </c>
      <c r="X24" s="6">
        <v>279770</v>
      </c>
      <c r="Y24" s="6">
        <v>269285</v>
      </c>
      <c r="Z24" s="6">
        <v>244304</v>
      </c>
      <c r="AA24" s="6">
        <v>280259</v>
      </c>
      <c r="AB24" s="6">
        <v>261675</v>
      </c>
      <c r="AC24" s="6">
        <v>344368</v>
      </c>
      <c r="AD24" s="6">
        <v>340038</v>
      </c>
      <c r="AE24" s="6">
        <v>224868</v>
      </c>
      <c r="AF24" s="6">
        <v>290171</v>
      </c>
      <c r="AG24" s="6">
        <v>232048</v>
      </c>
      <c r="AH24" s="6">
        <v>256354</v>
      </c>
      <c r="AI24" s="6">
        <v>255944</v>
      </c>
      <c r="AJ24" s="6">
        <v>278906</v>
      </c>
      <c r="AK24" s="6">
        <v>284510</v>
      </c>
      <c r="AL24" s="6">
        <v>248617</v>
      </c>
      <c r="AM24" s="6">
        <v>282117</v>
      </c>
      <c r="AN24" s="6">
        <v>270470</v>
      </c>
      <c r="AO24" s="6">
        <v>340845</v>
      </c>
      <c r="AP24" s="6">
        <v>341108</v>
      </c>
      <c r="AQ24" s="6">
        <v>227161</v>
      </c>
      <c r="AR24" s="6">
        <v>253904</v>
      </c>
      <c r="AS24" s="6">
        <v>291581</v>
      </c>
      <c r="AT24" s="6">
        <v>239707</v>
      </c>
      <c r="AU24" s="6">
        <v>287821</v>
      </c>
      <c r="AV24" s="6">
        <v>303721</v>
      </c>
      <c r="AW24" s="6">
        <v>284972</v>
      </c>
      <c r="AX24" s="6">
        <v>260399</v>
      </c>
      <c r="AY24" s="6">
        <v>294838</v>
      </c>
      <c r="AZ24" s="6">
        <v>271343</v>
      </c>
      <c r="BA24" s="6">
        <v>350801</v>
      </c>
      <c r="BB24" s="6">
        <v>340259</v>
      </c>
      <c r="BC24" s="6">
        <v>227038</v>
      </c>
      <c r="BD24" s="6">
        <v>286422</v>
      </c>
      <c r="BE24" s="6">
        <v>252995</v>
      </c>
      <c r="BF24" s="6">
        <v>249418</v>
      </c>
      <c r="BG24" s="6">
        <v>282311</v>
      </c>
      <c r="BH24" s="6">
        <v>298503</v>
      </c>
      <c r="BI24" s="6">
        <v>286491</v>
      </c>
      <c r="BJ24" s="6">
        <v>258763</v>
      </c>
      <c r="BK24" s="6">
        <v>297913</v>
      </c>
      <c r="BL24" s="6">
        <v>282679</v>
      </c>
      <c r="BM24" s="6">
        <v>348521</v>
      </c>
    </row>
    <row r="25" spans="1:65" hidden="1" x14ac:dyDescent="0.25">
      <c r="A25" s="8">
        <v>50</v>
      </c>
      <c r="B25" s="1">
        <f>VLOOKUP(E25,'[2]Peajes (1)'!$A:$D,4,0)</f>
        <v>3991</v>
      </c>
      <c r="C25" s="8" t="s">
        <v>75</v>
      </c>
      <c r="D25" s="8" t="s">
        <v>76</v>
      </c>
      <c r="E25" s="8" t="s">
        <v>77</v>
      </c>
      <c r="F25" s="6">
        <v>638753</v>
      </c>
      <c r="G25" s="6">
        <v>391017</v>
      </c>
      <c r="H25" s="6">
        <v>460051</v>
      </c>
      <c r="I25" s="6">
        <v>529433</v>
      </c>
      <c r="J25" s="6">
        <v>437796</v>
      </c>
      <c r="K25" s="6">
        <v>574910</v>
      </c>
      <c r="L25" s="6">
        <v>525310</v>
      </c>
      <c r="M25" s="6">
        <v>535099</v>
      </c>
      <c r="N25" s="6">
        <v>451346</v>
      </c>
      <c r="O25" s="6">
        <v>557594</v>
      </c>
      <c r="P25" s="6">
        <v>534705</v>
      </c>
      <c r="Q25" s="6">
        <v>656464</v>
      </c>
      <c r="R25" s="6">
        <v>692654</v>
      </c>
      <c r="S25" s="6">
        <v>419464</v>
      </c>
      <c r="T25" s="6">
        <v>502586</v>
      </c>
      <c r="U25" s="6">
        <v>521147</v>
      </c>
      <c r="V25" s="6">
        <v>527528</v>
      </c>
      <c r="W25" s="6">
        <v>654743</v>
      </c>
      <c r="X25" s="6">
        <v>609618</v>
      </c>
      <c r="Y25" s="6">
        <v>595823</v>
      </c>
      <c r="Z25" s="6">
        <v>504304</v>
      </c>
      <c r="AA25" s="6">
        <v>622056</v>
      </c>
      <c r="AB25" s="6">
        <v>562484</v>
      </c>
      <c r="AC25" s="6">
        <v>731016</v>
      </c>
      <c r="AD25" s="6">
        <v>753404</v>
      </c>
      <c r="AE25" s="6">
        <v>451194</v>
      </c>
      <c r="AF25" s="6">
        <v>608688</v>
      </c>
      <c r="AG25" s="6">
        <v>456602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</row>
    <row r="26" spans="1:65" hidden="1" x14ac:dyDescent="0.25">
      <c r="A26" s="8">
        <v>137</v>
      </c>
      <c r="B26" s="1">
        <f>VLOOKUP(E26,'[2]Peajes (1)'!$A:$D,4,0)</f>
        <v>3991</v>
      </c>
      <c r="C26" s="8" t="s">
        <v>201</v>
      </c>
      <c r="D26" s="8" t="s">
        <v>202</v>
      </c>
      <c r="E26" s="8" t="s">
        <v>77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733765</v>
      </c>
      <c r="AP26" s="6">
        <v>784373</v>
      </c>
      <c r="AQ26" s="6">
        <v>472997</v>
      </c>
      <c r="AR26" s="6">
        <v>554505</v>
      </c>
      <c r="AS26" s="6">
        <v>645928</v>
      </c>
      <c r="AT26" s="6">
        <v>541628</v>
      </c>
      <c r="AU26" s="6">
        <v>660907</v>
      </c>
      <c r="AV26" s="6">
        <v>709193</v>
      </c>
      <c r="AW26" s="6">
        <v>624816</v>
      </c>
      <c r="AX26" s="6">
        <v>535238</v>
      </c>
      <c r="AY26" s="6">
        <v>653954</v>
      </c>
      <c r="AZ26" s="6">
        <v>593358</v>
      </c>
      <c r="BA26" s="6">
        <v>788558</v>
      </c>
      <c r="BB26" s="6">
        <v>797079</v>
      </c>
      <c r="BC26" s="6">
        <v>476611</v>
      </c>
      <c r="BD26" s="6">
        <v>664646</v>
      </c>
      <c r="BE26" s="6">
        <v>529305</v>
      </c>
      <c r="BF26" s="6">
        <v>536160</v>
      </c>
      <c r="BG26" s="6">
        <v>690043</v>
      </c>
      <c r="BH26" s="6">
        <v>721114</v>
      </c>
      <c r="BI26" s="6">
        <v>633166</v>
      </c>
      <c r="BJ26" s="6">
        <v>554767</v>
      </c>
      <c r="BK26" s="6">
        <v>668129</v>
      </c>
      <c r="BL26" s="6">
        <v>625005</v>
      </c>
      <c r="BM26" s="6">
        <v>775166</v>
      </c>
    </row>
    <row r="27" spans="1:65" x14ac:dyDescent="0.25">
      <c r="A27" s="8">
        <v>137</v>
      </c>
      <c r="B27" s="1">
        <f>VLOOKUP(E27,'[2]Peajes (1)'!$A:$D,4,0)</f>
        <v>3991</v>
      </c>
      <c r="C27" s="8" t="s">
        <v>201</v>
      </c>
      <c r="D27" s="8" t="s">
        <v>202</v>
      </c>
      <c r="E27" s="8" t="s">
        <v>77</v>
      </c>
      <c r="F27" s="6">
        <f>SUM(F25:F26)</f>
        <v>638753</v>
      </c>
      <c r="G27" s="6">
        <f t="shared" ref="G27:BM27" si="1">SUM(G25:G26)</f>
        <v>391017</v>
      </c>
      <c r="H27" s="6">
        <f t="shared" si="1"/>
        <v>460051</v>
      </c>
      <c r="I27" s="6">
        <f t="shared" si="1"/>
        <v>529433</v>
      </c>
      <c r="J27" s="6">
        <f t="shared" si="1"/>
        <v>437796</v>
      </c>
      <c r="K27" s="6">
        <f t="shared" si="1"/>
        <v>574910</v>
      </c>
      <c r="L27" s="6">
        <f t="shared" si="1"/>
        <v>525310</v>
      </c>
      <c r="M27" s="6">
        <f t="shared" si="1"/>
        <v>535099</v>
      </c>
      <c r="N27" s="6">
        <f t="shared" si="1"/>
        <v>451346</v>
      </c>
      <c r="O27" s="6">
        <f t="shared" si="1"/>
        <v>557594</v>
      </c>
      <c r="P27" s="6">
        <f t="shared" si="1"/>
        <v>534705</v>
      </c>
      <c r="Q27" s="6">
        <f t="shared" si="1"/>
        <v>656464</v>
      </c>
      <c r="R27" s="6">
        <f t="shared" si="1"/>
        <v>692654</v>
      </c>
      <c r="S27" s="6">
        <f t="shared" si="1"/>
        <v>419464</v>
      </c>
      <c r="T27" s="6">
        <f t="shared" si="1"/>
        <v>502586</v>
      </c>
      <c r="U27" s="6">
        <f t="shared" si="1"/>
        <v>521147</v>
      </c>
      <c r="V27" s="6">
        <f t="shared" si="1"/>
        <v>527528</v>
      </c>
      <c r="W27" s="6">
        <f t="shared" si="1"/>
        <v>654743</v>
      </c>
      <c r="X27" s="6">
        <f t="shared" si="1"/>
        <v>609618</v>
      </c>
      <c r="Y27" s="6">
        <f t="shared" si="1"/>
        <v>595823</v>
      </c>
      <c r="Z27" s="6">
        <f t="shared" si="1"/>
        <v>504304</v>
      </c>
      <c r="AA27" s="6">
        <f t="shared" si="1"/>
        <v>622056</v>
      </c>
      <c r="AB27" s="6">
        <f t="shared" si="1"/>
        <v>562484</v>
      </c>
      <c r="AC27" s="6">
        <f t="shared" si="1"/>
        <v>731016</v>
      </c>
      <c r="AD27" s="6">
        <f t="shared" si="1"/>
        <v>753404</v>
      </c>
      <c r="AE27" s="6">
        <f t="shared" si="1"/>
        <v>451194</v>
      </c>
      <c r="AF27" s="6">
        <f t="shared" si="1"/>
        <v>608688</v>
      </c>
      <c r="AG27" s="6">
        <f t="shared" si="1"/>
        <v>456602</v>
      </c>
      <c r="AH27" s="6">
        <f t="shared" si="1"/>
        <v>0</v>
      </c>
      <c r="AI27" s="6">
        <f t="shared" si="1"/>
        <v>0</v>
      </c>
      <c r="AJ27" s="6">
        <f t="shared" si="1"/>
        <v>0</v>
      </c>
      <c r="AK27" s="6">
        <f t="shared" si="1"/>
        <v>0</v>
      </c>
      <c r="AL27" s="6">
        <f t="shared" si="1"/>
        <v>0</v>
      </c>
      <c r="AM27" s="6">
        <f t="shared" si="1"/>
        <v>0</v>
      </c>
      <c r="AN27" s="6">
        <f t="shared" si="1"/>
        <v>0</v>
      </c>
      <c r="AO27" s="6">
        <f t="shared" si="1"/>
        <v>733765</v>
      </c>
      <c r="AP27" s="6">
        <f t="shared" si="1"/>
        <v>784373</v>
      </c>
      <c r="AQ27" s="6">
        <f t="shared" si="1"/>
        <v>472997</v>
      </c>
      <c r="AR27" s="6">
        <f t="shared" si="1"/>
        <v>554505</v>
      </c>
      <c r="AS27" s="6">
        <f t="shared" si="1"/>
        <v>645928</v>
      </c>
      <c r="AT27" s="6">
        <f t="shared" si="1"/>
        <v>541628</v>
      </c>
      <c r="AU27" s="6">
        <f t="shared" si="1"/>
        <v>660907</v>
      </c>
      <c r="AV27" s="6">
        <f t="shared" si="1"/>
        <v>709193</v>
      </c>
      <c r="AW27" s="6">
        <f t="shared" si="1"/>
        <v>624816</v>
      </c>
      <c r="AX27" s="6">
        <f t="shared" si="1"/>
        <v>535238</v>
      </c>
      <c r="AY27" s="6">
        <f t="shared" si="1"/>
        <v>653954</v>
      </c>
      <c r="AZ27" s="6">
        <f t="shared" si="1"/>
        <v>593358</v>
      </c>
      <c r="BA27" s="6">
        <f t="shared" si="1"/>
        <v>788558</v>
      </c>
      <c r="BB27" s="6">
        <f t="shared" si="1"/>
        <v>797079</v>
      </c>
      <c r="BC27" s="6">
        <f t="shared" si="1"/>
        <v>476611</v>
      </c>
      <c r="BD27" s="6">
        <f t="shared" si="1"/>
        <v>664646</v>
      </c>
      <c r="BE27" s="6">
        <f t="shared" si="1"/>
        <v>529305</v>
      </c>
      <c r="BF27" s="6">
        <f t="shared" si="1"/>
        <v>536160</v>
      </c>
      <c r="BG27" s="6">
        <f t="shared" si="1"/>
        <v>690043</v>
      </c>
      <c r="BH27" s="6">
        <f t="shared" si="1"/>
        <v>721114</v>
      </c>
      <c r="BI27" s="6">
        <f t="shared" si="1"/>
        <v>633166</v>
      </c>
      <c r="BJ27" s="6">
        <f t="shared" si="1"/>
        <v>554767</v>
      </c>
      <c r="BK27" s="6">
        <f t="shared" si="1"/>
        <v>668129</v>
      </c>
      <c r="BL27" s="6">
        <f t="shared" si="1"/>
        <v>625005</v>
      </c>
      <c r="BM27" s="6">
        <f t="shared" si="1"/>
        <v>775166</v>
      </c>
    </row>
    <row r="28" spans="1:65" hidden="1" x14ac:dyDescent="0.25">
      <c r="A28" s="8">
        <v>51</v>
      </c>
      <c r="B28" s="1">
        <f>VLOOKUP(E28,'[2]Peajes (1)'!$A:$D,4,0)</f>
        <v>3815</v>
      </c>
      <c r="C28" s="8" t="s">
        <v>75</v>
      </c>
      <c r="D28" s="8" t="s">
        <v>76</v>
      </c>
      <c r="E28" s="8" t="s">
        <v>78</v>
      </c>
      <c r="F28" s="6">
        <v>732303</v>
      </c>
      <c r="G28" s="6">
        <v>473289</v>
      </c>
      <c r="H28" s="6">
        <v>555878</v>
      </c>
      <c r="I28" s="6">
        <v>631411</v>
      </c>
      <c r="J28" s="6">
        <v>543066</v>
      </c>
      <c r="K28" s="6">
        <v>690657</v>
      </c>
      <c r="L28" s="6">
        <v>633643</v>
      </c>
      <c r="M28" s="6">
        <v>659650</v>
      </c>
      <c r="N28" s="6">
        <v>561333</v>
      </c>
      <c r="O28" s="6">
        <v>680269</v>
      </c>
      <c r="P28" s="6">
        <v>664101</v>
      </c>
      <c r="Q28" s="6">
        <v>808624</v>
      </c>
      <c r="R28" s="6">
        <v>816440</v>
      </c>
      <c r="S28" s="6">
        <v>531570</v>
      </c>
      <c r="T28" s="6">
        <v>635320</v>
      </c>
      <c r="U28" s="6">
        <v>649964</v>
      </c>
      <c r="V28" s="6">
        <v>670130</v>
      </c>
      <c r="W28" s="6">
        <v>798940</v>
      </c>
      <c r="X28" s="6">
        <v>738967</v>
      </c>
      <c r="Y28" s="6">
        <v>742424</v>
      </c>
      <c r="Z28" s="6">
        <v>631811</v>
      </c>
      <c r="AA28" s="6">
        <v>762929</v>
      </c>
      <c r="AB28" s="6">
        <v>708336</v>
      </c>
      <c r="AC28" s="6">
        <v>906033</v>
      </c>
      <c r="AD28" s="6">
        <v>901913</v>
      </c>
      <c r="AE28" s="6">
        <v>578198</v>
      </c>
      <c r="AF28" s="6">
        <v>758332</v>
      </c>
      <c r="AG28" s="6">
        <v>589225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</row>
    <row r="29" spans="1:65" s="10" customFormat="1" hidden="1" x14ac:dyDescent="0.25">
      <c r="A29" s="8">
        <v>138</v>
      </c>
      <c r="B29" s="1">
        <f>VLOOKUP(E29,'[2]Peajes (1)'!$A:$D,4,0)</f>
        <v>3815</v>
      </c>
      <c r="C29" s="8" t="s">
        <v>201</v>
      </c>
      <c r="D29" s="8" t="s">
        <v>202</v>
      </c>
      <c r="E29" s="8" t="s">
        <v>78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927587</v>
      </c>
      <c r="AP29" s="6">
        <v>940349</v>
      </c>
      <c r="AQ29" s="6">
        <v>608050</v>
      </c>
      <c r="AR29" s="6">
        <v>702300</v>
      </c>
      <c r="AS29" s="6">
        <v>798522</v>
      </c>
      <c r="AT29" s="6">
        <v>695422</v>
      </c>
      <c r="AU29" s="6">
        <v>816095</v>
      </c>
      <c r="AV29" s="6">
        <v>866881</v>
      </c>
      <c r="AW29" s="6">
        <v>780912</v>
      </c>
      <c r="AX29" s="6">
        <v>678387</v>
      </c>
      <c r="AY29" s="6">
        <v>811317</v>
      </c>
      <c r="AZ29" s="6">
        <v>753850</v>
      </c>
      <c r="BA29" s="6">
        <v>982094</v>
      </c>
      <c r="BB29" s="6">
        <v>950891</v>
      </c>
      <c r="BC29" s="6">
        <v>611014</v>
      </c>
      <c r="BD29" s="6">
        <v>830465</v>
      </c>
      <c r="BE29" s="6">
        <v>674230</v>
      </c>
      <c r="BF29" s="6">
        <v>682220</v>
      </c>
      <c r="BG29" s="6">
        <v>845407</v>
      </c>
      <c r="BH29" s="6">
        <v>870132</v>
      </c>
      <c r="BI29" s="6">
        <v>783549</v>
      </c>
      <c r="BJ29" s="6">
        <v>702719</v>
      </c>
      <c r="BK29" s="6">
        <v>839977</v>
      </c>
      <c r="BL29" s="6">
        <v>791663</v>
      </c>
      <c r="BM29" s="6">
        <v>975938</v>
      </c>
    </row>
    <row r="30" spans="1:65" s="10" customFormat="1" x14ac:dyDescent="0.25">
      <c r="A30" s="8">
        <v>138</v>
      </c>
      <c r="B30" s="1">
        <f>VLOOKUP(E30,'[2]Peajes (1)'!$A:$D,4,0)</f>
        <v>3815</v>
      </c>
      <c r="C30" s="8" t="s">
        <v>201</v>
      </c>
      <c r="D30" s="8" t="s">
        <v>202</v>
      </c>
      <c r="E30" s="8" t="s">
        <v>78</v>
      </c>
      <c r="F30" s="6">
        <f>SUM(F28:F29)</f>
        <v>732303</v>
      </c>
      <c r="G30" s="6">
        <f t="shared" ref="G30:BM30" si="2">SUM(G28:G29)</f>
        <v>473289</v>
      </c>
      <c r="H30" s="6">
        <f t="shared" si="2"/>
        <v>555878</v>
      </c>
      <c r="I30" s="6">
        <f t="shared" si="2"/>
        <v>631411</v>
      </c>
      <c r="J30" s="6">
        <f t="shared" si="2"/>
        <v>543066</v>
      </c>
      <c r="K30" s="6">
        <f t="shared" si="2"/>
        <v>690657</v>
      </c>
      <c r="L30" s="6">
        <f t="shared" si="2"/>
        <v>633643</v>
      </c>
      <c r="M30" s="6">
        <f t="shared" si="2"/>
        <v>659650</v>
      </c>
      <c r="N30" s="6">
        <f t="shared" si="2"/>
        <v>561333</v>
      </c>
      <c r="O30" s="6">
        <f t="shared" si="2"/>
        <v>680269</v>
      </c>
      <c r="P30" s="6">
        <f t="shared" si="2"/>
        <v>664101</v>
      </c>
      <c r="Q30" s="6">
        <f t="shared" si="2"/>
        <v>808624</v>
      </c>
      <c r="R30" s="6">
        <f t="shared" si="2"/>
        <v>816440</v>
      </c>
      <c r="S30" s="6">
        <f t="shared" si="2"/>
        <v>531570</v>
      </c>
      <c r="T30" s="6">
        <f t="shared" si="2"/>
        <v>635320</v>
      </c>
      <c r="U30" s="6">
        <f t="shared" si="2"/>
        <v>649964</v>
      </c>
      <c r="V30" s="6">
        <f t="shared" si="2"/>
        <v>670130</v>
      </c>
      <c r="W30" s="6">
        <f t="shared" si="2"/>
        <v>798940</v>
      </c>
      <c r="X30" s="6">
        <f t="shared" si="2"/>
        <v>738967</v>
      </c>
      <c r="Y30" s="6">
        <f t="shared" si="2"/>
        <v>742424</v>
      </c>
      <c r="Z30" s="6">
        <f t="shared" si="2"/>
        <v>631811</v>
      </c>
      <c r="AA30" s="6">
        <f t="shared" si="2"/>
        <v>762929</v>
      </c>
      <c r="AB30" s="6">
        <f t="shared" si="2"/>
        <v>708336</v>
      </c>
      <c r="AC30" s="6">
        <f t="shared" si="2"/>
        <v>906033</v>
      </c>
      <c r="AD30" s="6">
        <f t="shared" si="2"/>
        <v>901913</v>
      </c>
      <c r="AE30" s="6">
        <f t="shared" si="2"/>
        <v>578198</v>
      </c>
      <c r="AF30" s="6">
        <f t="shared" si="2"/>
        <v>758332</v>
      </c>
      <c r="AG30" s="6">
        <f t="shared" si="2"/>
        <v>589225</v>
      </c>
      <c r="AH30" s="6">
        <f t="shared" si="2"/>
        <v>0</v>
      </c>
      <c r="AI30" s="6">
        <f t="shared" si="2"/>
        <v>0</v>
      </c>
      <c r="AJ30" s="6">
        <f t="shared" si="2"/>
        <v>0</v>
      </c>
      <c r="AK30" s="6">
        <f t="shared" si="2"/>
        <v>0</v>
      </c>
      <c r="AL30" s="6">
        <f t="shared" si="2"/>
        <v>0</v>
      </c>
      <c r="AM30" s="6">
        <f t="shared" si="2"/>
        <v>0</v>
      </c>
      <c r="AN30" s="6">
        <f t="shared" si="2"/>
        <v>0</v>
      </c>
      <c r="AO30" s="6">
        <f t="shared" si="2"/>
        <v>927587</v>
      </c>
      <c r="AP30" s="6">
        <f t="shared" si="2"/>
        <v>940349</v>
      </c>
      <c r="AQ30" s="6">
        <f t="shared" si="2"/>
        <v>608050</v>
      </c>
      <c r="AR30" s="6">
        <f t="shared" si="2"/>
        <v>702300</v>
      </c>
      <c r="AS30" s="6">
        <f t="shared" si="2"/>
        <v>798522</v>
      </c>
      <c r="AT30" s="6">
        <f t="shared" si="2"/>
        <v>695422</v>
      </c>
      <c r="AU30" s="6">
        <f t="shared" si="2"/>
        <v>816095</v>
      </c>
      <c r="AV30" s="6">
        <f t="shared" si="2"/>
        <v>866881</v>
      </c>
      <c r="AW30" s="6">
        <f t="shared" si="2"/>
        <v>780912</v>
      </c>
      <c r="AX30" s="6">
        <f t="shared" si="2"/>
        <v>678387</v>
      </c>
      <c r="AY30" s="6">
        <f t="shared" si="2"/>
        <v>811317</v>
      </c>
      <c r="AZ30" s="6">
        <f t="shared" si="2"/>
        <v>753850</v>
      </c>
      <c r="BA30" s="6">
        <f t="shared" si="2"/>
        <v>982094</v>
      </c>
      <c r="BB30" s="6">
        <f t="shared" si="2"/>
        <v>950891</v>
      </c>
      <c r="BC30" s="6">
        <f t="shared" si="2"/>
        <v>611014</v>
      </c>
      <c r="BD30" s="6">
        <f t="shared" si="2"/>
        <v>830465</v>
      </c>
      <c r="BE30" s="6">
        <f t="shared" si="2"/>
        <v>674230</v>
      </c>
      <c r="BF30" s="6">
        <f t="shared" si="2"/>
        <v>682220</v>
      </c>
      <c r="BG30" s="6">
        <f t="shared" si="2"/>
        <v>845407</v>
      </c>
      <c r="BH30" s="6">
        <f t="shared" si="2"/>
        <v>870132</v>
      </c>
      <c r="BI30" s="6">
        <f t="shared" si="2"/>
        <v>783549</v>
      </c>
      <c r="BJ30" s="6">
        <f t="shared" si="2"/>
        <v>702719</v>
      </c>
      <c r="BK30" s="6">
        <f t="shared" si="2"/>
        <v>839977</v>
      </c>
      <c r="BL30" s="6">
        <f t="shared" si="2"/>
        <v>791663</v>
      </c>
      <c r="BM30" s="6">
        <f t="shared" si="2"/>
        <v>975938</v>
      </c>
    </row>
    <row r="31" spans="1:65" s="10" customFormat="1" x14ac:dyDescent="0.25">
      <c r="A31" s="1">
        <v>40</v>
      </c>
      <c r="B31" s="1">
        <f>VLOOKUP(E31,'[2]Peajes (1)'!$A:$D,4,0)</f>
        <v>5204</v>
      </c>
      <c r="C31" s="3" t="s">
        <v>59</v>
      </c>
      <c r="D31" s="3" t="s">
        <v>60</v>
      </c>
      <c r="E31" s="3" t="s">
        <v>63</v>
      </c>
      <c r="F31" s="6">
        <v>262857</v>
      </c>
      <c r="G31" s="6">
        <v>234743</v>
      </c>
      <c r="H31" s="6">
        <v>252357</v>
      </c>
      <c r="I31" s="6">
        <v>253316</v>
      </c>
      <c r="J31" s="6">
        <v>258856</v>
      </c>
      <c r="K31" s="6">
        <v>247832</v>
      </c>
      <c r="L31" s="6">
        <v>268410</v>
      </c>
      <c r="M31" s="6">
        <v>270919</v>
      </c>
      <c r="N31" s="6">
        <v>257613</v>
      </c>
      <c r="O31" s="6">
        <v>270934</v>
      </c>
      <c r="P31" s="6">
        <v>263401</v>
      </c>
      <c r="Q31" s="6">
        <v>312960</v>
      </c>
      <c r="R31" s="6">
        <v>280270</v>
      </c>
      <c r="S31" s="6">
        <v>251009</v>
      </c>
      <c r="T31" s="6">
        <v>274266</v>
      </c>
      <c r="U31" s="6">
        <v>278363</v>
      </c>
      <c r="V31" s="6">
        <v>271480</v>
      </c>
      <c r="W31" s="6">
        <v>268880</v>
      </c>
      <c r="X31" s="6">
        <v>286752</v>
      </c>
      <c r="Y31" s="6">
        <v>286472</v>
      </c>
      <c r="Z31" s="6">
        <v>276657</v>
      </c>
      <c r="AA31" s="6">
        <v>297791</v>
      </c>
      <c r="AB31" s="6">
        <v>282602</v>
      </c>
      <c r="AC31" s="6">
        <v>326916</v>
      </c>
      <c r="AD31" s="6">
        <v>290790</v>
      </c>
      <c r="AE31" s="6">
        <v>263613</v>
      </c>
      <c r="AF31" s="6">
        <v>284751</v>
      </c>
      <c r="AG31" s="6">
        <v>275667</v>
      </c>
      <c r="AH31" s="6">
        <v>291319</v>
      </c>
      <c r="AI31" s="6">
        <v>287072</v>
      </c>
      <c r="AJ31" s="6">
        <v>306187</v>
      </c>
      <c r="AK31" s="6">
        <v>307524</v>
      </c>
      <c r="AL31" s="6">
        <v>292953</v>
      </c>
      <c r="AM31" s="6">
        <v>305690</v>
      </c>
      <c r="AN31" s="6">
        <v>303109</v>
      </c>
      <c r="AO31" s="6">
        <v>350669</v>
      </c>
      <c r="AP31" s="6">
        <v>317848</v>
      </c>
      <c r="AQ31" s="6">
        <v>280559</v>
      </c>
      <c r="AR31" s="6">
        <v>308850</v>
      </c>
      <c r="AS31" s="6">
        <v>295291</v>
      </c>
      <c r="AT31" s="6">
        <v>319638</v>
      </c>
      <c r="AU31" s="6">
        <v>306690</v>
      </c>
      <c r="AV31" s="6">
        <v>321453</v>
      </c>
      <c r="AW31" s="6">
        <v>319662</v>
      </c>
      <c r="AX31" s="6">
        <v>300310</v>
      </c>
      <c r="AY31" s="6">
        <v>311479</v>
      </c>
      <c r="AZ31" s="6">
        <v>308474</v>
      </c>
      <c r="BA31" s="6">
        <v>361552</v>
      </c>
      <c r="BB31" s="6">
        <v>323527</v>
      </c>
      <c r="BC31" s="6">
        <v>286893</v>
      </c>
      <c r="BD31" s="6">
        <v>313297</v>
      </c>
      <c r="BE31" s="6">
        <v>310079</v>
      </c>
      <c r="BF31" s="6">
        <v>318460</v>
      </c>
      <c r="BG31" s="6">
        <v>311339</v>
      </c>
      <c r="BH31" s="6">
        <v>325536</v>
      </c>
      <c r="BI31" s="6">
        <v>329820</v>
      </c>
      <c r="BJ31" s="6">
        <v>314719</v>
      </c>
      <c r="BK31" s="6">
        <v>330766</v>
      </c>
      <c r="BL31" s="6">
        <v>0</v>
      </c>
      <c r="BM31" s="6">
        <v>0</v>
      </c>
    </row>
    <row r="32" spans="1:65" s="10" customFormat="1" x14ac:dyDescent="0.25">
      <c r="A32" s="1">
        <v>1</v>
      </c>
      <c r="B32" s="1">
        <f>VLOOKUP(E32,'[2]Peajes (1)'!$A:$D,4,0)</f>
        <v>3866</v>
      </c>
      <c r="C32" s="3" t="s">
        <v>4</v>
      </c>
      <c r="D32" s="3" t="s">
        <v>5</v>
      </c>
      <c r="E32" s="3" t="s">
        <v>6</v>
      </c>
      <c r="F32" s="6">
        <v>222796</v>
      </c>
      <c r="G32" s="6">
        <v>162080</v>
      </c>
      <c r="H32" s="6">
        <v>181483</v>
      </c>
      <c r="I32" s="6">
        <v>201492</v>
      </c>
      <c r="J32" s="6">
        <v>180691</v>
      </c>
      <c r="K32" s="6">
        <v>189878</v>
      </c>
      <c r="L32" s="6">
        <v>194051</v>
      </c>
      <c r="M32" s="6">
        <v>205289</v>
      </c>
      <c r="N32" s="6">
        <v>181599</v>
      </c>
      <c r="O32" s="6">
        <v>204758</v>
      </c>
      <c r="P32" s="6">
        <v>198983</v>
      </c>
      <c r="Q32" s="6">
        <v>241907</v>
      </c>
      <c r="R32" s="6">
        <v>244642</v>
      </c>
      <c r="S32" s="6">
        <v>171283</v>
      </c>
      <c r="T32" s="6">
        <v>198554</v>
      </c>
      <c r="U32" s="6">
        <v>204925</v>
      </c>
      <c r="V32" s="6">
        <v>200409</v>
      </c>
      <c r="W32" s="6">
        <v>213442</v>
      </c>
      <c r="X32" s="6">
        <v>219700</v>
      </c>
      <c r="Y32" s="6">
        <v>215189</v>
      </c>
      <c r="Z32" s="6">
        <v>195224</v>
      </c>
      <c r="AA32" s="6">
        <v>215098</v>
      </c>
      <c r="AB32" s="6">
        <v>209433</v>
      </c>
      <c r="AC32" s="6">
        <v>265231</v>
      </c>
      <c r="AD32" s="6">
        <v>272350</v>
      </c>
      <c r="AE32" s="6">
        <v>191931</v>
      </c>
      <c r="AF32" s="6">
        <v>237172</v>
      </c>
      <c r="AG32" s="6">
        <v>196234</v>
      </c>
      <c r="AH32" s="6">
        <v>216590</v>
      </c>
      <c r="AI32" s="6">
        <v>219414</v>
      </c>
      <c r="AJ32" s="6">
        <v>237731</v>
      </c>
      <c r="AK32" s="6">
        <v>230308</v>
      </c>
      <c r="AL32" s="6">
        <v>207972</v>
      </c>
      <c r="AM32" s="6">
        <v>233360</v>
      </c>
      <c r="AN32" s="6">
        <v>224161</v>
      </c>
      <c r="AO32" s="6">
        <v>269845</v>
      </c>
      <c r="AP32" s="6">
        <v>280845</v>
      </c>
      <c r="AQ32" s="6">
        <v>196192</v>
      </c>
      <c r="AR32" s="6">
        <v>217177</v>
      </c>
      <c r="AS32" s="6">
        <v>239768</v>
      </c>
      <c r="AT32" s="6">
        <v>217632</v>
      </c>
      <c r="AU32" s="6">
        <v>233349</v>
      </c>
      <c r="AV32" s="6">
        <v>246129</v>
      </c>
      <c r="AW32" s="6">
        <v>239845</v>
      </c>
      <c r="AX32" s="6">
        <v>217509</v>
      </c>
      <c r="AY32" s="6">
        <v>240738</v>
      </c>
      <c r="AZ32" s="6">
        <v>233406</v>
      </c>
      <c r="BA32" s="6">
        <v>288086</v>
      </c>
      <c r="BB32" s="6">
        <v>289888</v>
      </c>
      <c r="BC32" s="6">
        <v>203841</v>
      </c>
      <c r="BD32" s="6">
        <v>254102</v>
      </c>
      <c r="BE32" s="6">
        <v>219547</v>
      </c>
      <c r="BF32" s="6">
        <v>222486</v>
      </c>
      <c r="BG32" s="6">
        <v>199905</v>
      </c>
      <c r="BH32" s="6">
        <v>256688</v>
      </c>
      <c r="BI32" s="6">
        <v>247892</v>
      </c>
      <c r="BJ32" s="6">
        <v>230464</v>
      </c>
      <c r="BK32" s="6">
        <v>247173</v>
      </c>
      <c r="BL32" s="6">
        <v>240944</v>
      </c>
      <c r="BM32" s="6">
        <v>300383</v>
      </c>
    </row>
    <row r="33" spans="1:65" s="10" customFormat="1" x14ac:dyDescent="0.25">
      <c r="A33" s="1">
        <v>95</v>
      </c>
      <c r="B33" s="1">
        <f>VLOOKUP(E33,'[2]Peajes (1)'!$A:$D,4,0)</f>
        <v>10406</v>
      </c>
      <c r="C33" s="3" t="s">
        <v>137</v>
      </c>
      <c r="D33" s="3" t="s">
        <v>138</v>
      </c>
      <c r="E33" s="3" t="s">
        <v>139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54938</v>
      </c>
      <c r="BL33" s="6">
        <v>49415</v>
      </c>
      <c r="BM33" s="6">
        <v>60411</v>
      </c>
    </row>
    <row r="34" spans="1:65" x14ac:dyDescent="0.25">
      <c r="A34" s="1">
        <v>140</v>
      </c>
      <c r="B34" s="1">
        <f>VLOOKUP(E34,'[2]Peajes (1)'!$A:$D,4,0)</f>
        <v>3961</v>
      </c>
      <c r="C34" s="3" t="s">
        <v>205</v>
      </c>
      <c r="D34" s="3" t="s">
        <v>206</v>
      </c>
      <c r="E34" s="3" t="s">
        <v>207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>
        <v>0</v>
      </c>
      <c r="AE34" s="6">
        <v>0</v>
      </c>
      <c r="AF34" s="6">
        <v>0</v>
      </c>
      <c r="AG34" s="6">
        <v>19594</v>
      </c>
      <c r="AH34" s="6">
        <v>47667</v>
      </c>
      <c r="AI34" s="6">
        <v>50202</v>
      </c>
      <c r="AJ34" s="6">
        <v>50285</v>
      </c>
      <c r="AK34" s="6">
        <v>51395</v>
      </c>
      <c r="AL34" s="6">
        <v>46178</v>
      </c>
      <c r="AM34" s="6">
        <v>52571</v>
      </c>
      <c r="AN34" s="6">
        <v>51021</v>
      </c>
      <c r="AO34" s="6">
        <v>63034</v>
      </c>
      <c r="AP34" s="6">
        <v>67954</v>
      </c>
      <c r="AQ34" s="6">
        <v>44503</v>
      </c>
      <c r="AR34" s="6">
        <v>49494</v>
      </c>
      <c r="AS34" s="6">
        <v>54098</v>
      </c>
      <c r="AT34" s="6">
        <v>49887</v>
      </c>
      <c r="AU34" s="6">
        <v>52629</v>
      </c>
      <c r="AV34" s="6">
        <v>53884</v>
      </c>
      <c r="AW34" s="6">
        <v>52277</v>
      </c>
      <c r="AX34" s="6">
        <v>47526</v>
      </c>
      <c r="AY34" s="6">
        <v>53537</v>
      </c>
      <c r="AZ34" s="6">
        <v>51610</v>
      </c>
      <c r="BA34" s="6">
        <v>68423</v>
      </c>
      <c r="BB34" s="6">
        <v>69598</v>
      </c>
      <c r="BC34" s="6">
        <v>48062</v>
      </c>
      <c r="BD34" s="6">
        <v>59421</v>
      </c>
      <c r="BE34" s="6">
        <v>55303</v>
      </c>
      <c r="BF34" s="6">
        <v>55037</v>
      </c>
      <c r="BG34" s="6">
        <v>63487</v>
      </c>
      <c r="BH34" s="6">
        <v>61606</v>
      </c>
      <c r="BI34" s="6">
        <v>59146</v>
      </c>
      <c r="BJ34" s="6">
        <v>56575</v>
      </c>
      <c r="BK34" s="6">
        <v>61488</v>
      </c>
      <c r="BL34" s="6">
        <v>57370</v>
      </c>
      <c r="BM34" s="6">
        <v>72715</v>
      </c>
    </row>
    <row r="35" spans="1:65" x14ac:dyDescent="0.25">
      <c r="A35" s="1">
        <v>20</v>
      </c>
      <c r="B35" s="1">
        <f>VLOOKUP(E35,'[2]Peajes (1)'!$A:$D,4,0)</f>
        <v>3861</v>
      </c>
      <c r="C35" s="3" t="s">
        <v>31</v>
      </c>
      <c r="D35" s="3" t="s">
        <v>32</v>
      </c>
      <c r="E35" s="3" t="s">
        <v>33</v>
      </c>
      <c r="F35" s="6">
        <v>141142</v>
      </c>
      <c r="G35" s="6">
        <v>89139</v>
      </c>
      <c r="H35" s="6">
        <v>100123</v>
      </c>
      <c r="I35" s="6">
        <v>115135</v>
      </c>
      <c r="J35" s="6">
        <v>99031</v>
      </c>
      <c r="K35" s="6">
        <v>113555</v>
      </c>
      <c r="L35" s="6">
        <v>109329</v>
      </c>
      <c r="M35" s="6">
        <v>115852</v>
      </c>
      <c r="N35" s="6">
        <v>102528</v>
      </c>
      <c r="O35" s="6">
        <v>115323</v>
      </c>
      <c r="P35" s="6">
        <v>111724</v>
      </c>
      <c r="Q35" s="6">
        <v>152225</v>
      </c>
      <c r="R35" s="6">
        <v>162340</v>
      </c>
      <c r="S35" s="6">
        <v>101301</v>
      </c>
      <c r="T35" s="6">
        <v>112144</v>
      </c>
      <c r="U35" s="6">
        <v>118497</v>
      </c>
      <c r="V35" s="6">
        <v>113808</v>
      </c>
      <c r="W35" s="6">
        <v>131195</v>
      </c>
      <c r="X35" s="6">
        <v>125797</v>
      </c>
      <c r="Y35" s="6">
        <v>128103</v>
      </c>
      <c r="Z35" s="6">
        <v>111288</v>
      </c>
      <c r="AA35" s="6">
        <v>133055</v>
      </c>
      <c r="AB35" s="6">
        <v>125525</v>
      </c>
      <c r="AC35" s="6">
        <v>170570</v>
      </c>
      <c r="AD35" s="6">
        <v>180523</v>
      </c>
      <c r="AE35" s="6">
        <v>108380</v>
      </c>
      <c r="AF35" s="6">
        <v>142183</v>
      </c>
      <c r="AG35" s="6">
        <v>106275</v>
      </c>
      <c r="AH35" s="6">
        <v>120986</v>
      </c>
      <c r="AI35" s="6">
        <v>123520</v>
      </c>
      <c r="AJ35" s="6">
        <v>123667</v>
      </c>
      <c r="AK35" s="6">
        <v>137984</v>
      </c>
      <c r="AL35" s="6">
        <v>118759</v>
      </c>
      <c r="AM35" s="6">
        <v>143992</v>
      </c>
      <c r="AN35" s="6">
        <v>141380</v>
      </c>
      <c r="AO35" s="6">
        <v>176893</v>
      </c>
      <c r="AP35" s="6">
        <v>180565</v>
      </c>
      <c r="AQ35" s="6">
        <v>115877</v>
      </c>
      <c r="AR35" s="6">
        <v>127341</v>
      </c>
      <c r="AS35" s="6">
        <v>147378</v>
      </c>
      <c r="AT35" s="6">
        <v>131667</v>
      </c>
      <c r="AU35" s="6">
        <v>149821</v>
      </c>
      <c r="AV35" s="6">
        <v>152693</v>
      </c>
      <c r="AW35" s="6">
        <v>151120</v>
      </c>
      <c r="AX35" s="6">
        <v>128575</v>
      </c>
      <c r="AY35" s="6">
        <v>147827</v>
      </c>
      <c r="AZ35" s="6">
        <v>145162</v>
      </c>
      <c r="BA35" s="6">
        <v>187461</v>
      </c>
      <c r="BB35" s="6">
        <v>199901</v>
      </c>
      <c r="BC35" s="6">
        <v>121191</v>
      </c>
      <c r="BD35" s="6">
        <v>154535</v>
      </c>
      <c r="BE35" s="6">
        <v>133044</v>
      </c>
      <c r="BF35" s="6">
        <v>128955</v>
      </c>
      <c r="BG35" s="6">
        <v>151143</v>
      </c>
      <c r="BH35" s="6">
        <v>157154</v>
      </c>
      <c r="BI35" s="6">
        <v>153711</v>
      </c>
      <c r="BJ35" s="6">
        <v>0</v>
      </c>
      <c r="BK35" s="6">
        <v>0</v>
      </c>
      <c r="BL35" s="6">
        <v>0</v>
      </c>
      <c r="BM35" s="6">
        <v>0</v>
      </c>
    </row>
    <row r="36" spans="1:65" x14ac:dyDescent="0.25">
      <c r="A36" s="1">
        <v>2</v>
      </c>
      <c r="B36" s="1">
        <f>VLOOKUP(E36,'[2]Peajes (1)'!$A:$D,4,0)</f>
        <v>3840</v>
      </c>
      <c r="C36" s="3" t="s">
        <v>4</v>
      </c>
      <c r="D36" s="3" t="s">
        <v>5</v>
      </c>
      <c r="E36" s="3" t="s">
        <v>7</v>
      </c>
      <c r="F36" s="6">
        <v>210126</v>
      </c>
      <c r="G36" s="6">
        <v>149379</v>
      </c>
      <c r="H36" s="6">
        <v>168178</v>
      </c>
      <c r="I36" s="6">
        <v>184526</v>
      </c>
      <c r="J36" s="6">
        <v>164622</v>
      </c>
      <c r="K36" s="6">
        <v>171120</v>
      </c>
      <c r="L36" s="6">
        <v>182790</v>
      </c>
      <c r="M36" s="6">
        <v>180861</v>
      </c>
      <c r="N36" s="6">
        <v>165380</v>
      </c>
      <c r="O36" s="6">
        <v>177311</v>
      </c>
      <c r="P36" s="6">
        <v>171314</v>
      </c>
      <c r="Q36" s="6">
        <v>207316</v>
      </c>
      <c r="R36" s="6">
        <v>215470</v>
      </c>
      <c r="S36" s="6">
        <v>157126</v>
      </c>
      <c r="T36" s="6">
        <v>170173</v>
      </c>
      <c r="U36" s="6">
        <v>182229</v>
      </c>
      <c r="V36" s="6">
        <v>174938</v>
      </c>
      <c r="W36" s="6">
        <v>184047</v>
      </c>
      <c r="X36" s="6">
        <v>194706</v>
      </c>
      <c r="Y36" s="6">
        <v>186306</v>
      </c>
      <c r="Z36" s="6">
        <v>171841</v>
      </c>
      <c r="AA36" s="6">
        <v>181370</v>
      </c>
      <c r="AB36" s="6">
        <v>175712</v>
      </c>
      <c r="AC36" s="6">
        <v>217189</v>
      </c>
      <c r="AD36" s="6">
        <v>229713</v>
      </c>
      <c r="AE36" s="6">
        <v>159011</v>
      </c>
      <c r="AF36" s="6">
        <v>201959</v>
      </c>
      <c r="AG36" s="6">
        <v>163674</v>
      </c>
      <c r="AH36" s="6">
        <v>181470</v>
      </c>
      <c r="AI36" s="6">
        <v>174883</v>
      </c>
      <c r="AJ36" s="6">
        <v>186880</v>
      </c>
      <c r="AK36" s="6">
        <v>204749</v>
      </c>
      <c r="AL36" s="6">
        <v>179382</v>
      </c>
      <c r="AM36" s="6">
        <v>193508</v>
      </c>
      <c r="AN36" s="6">
        <v>186849</v>
      </c>
      <c r="AO36" s="6">
        <v>220990</v>
      </c>
      <c r="AP36" s="6">
        <v>228406</v>
      </c>
      <c r="AQ36" s="6">
        <v>159785</v>
      </c>
      <c r="AR36" s="6">
        <v>171688</v>
      </c>
      <c r="AS36" s="6">
        <v>196138</v>
      </c>
      <c r="AT36" s="6">
        <v>157294</v>
      </c>
      <c r="AU36" s="6">
        <v>189374</v>
      </c>
      <c r="AV36" s="6">
        <v>203152</v>
      </c>
      <c r="AW36" s="6">
        <v>193941</v>
      </c>
      <c r="AX36" s="6">
        <v>178218</v>
      </c>
      <c r="AY36" s="6">
        <v>194415</v>
      </c>
      <c r="AZ36" s="6">
        <v>182855</v>
      </c>
      <c r="BA36" s="6">
        <v>219810</v>
      </c>
      <c r="BB36" s="6">
        <v>226678</v>
      </c>
      <c r="BC36" s="6">
        <v>159986</v>
      </c>
      <c r="BD36" s="6">
        <v>198039</v>
      </c>
      <c r="BE36" s="6">
        <v>175620</v>
      </c>
      <c r="BF36" s="6">
        <v>171792</v>
      </c>
      <c r="BG36" s="6">
        <v>159998</v>
      </c>
      <c r="BH36" s="6">
        <v>204259</v>
      </c>
      <c r="BI36" s="6">
        <v>195559</v>
      </c>
      <c r="BJ36" s="6">
        <v>182830</v>
      </c>
      <c r="BK36" s="6">
        <v>201643</v>
      </c>
      <c r="BL36" s="6">
        <v>190100</v>
      </c>
      <c r="BM36" s="6">
        <v>224507</v>
      </c>
    </row>
    <row r="37" spans="1:65" x14ac:dyDescent="0.25">
      <c r="A37" s="1">
        <v>68</v>
      </c>
      <c r="B37" s="1">
        <f>VLOOKUP(E37,'[2]Peajes (1)'!$A:$D,4,0)</f>
        <v>3865</v>
      </c>
      <c r="C37" s="3" t="s">
        <v>95</v>
      </c>
      <c r="D37" s="3" t="s">
        <v>96</v>
      </c>
      <c r="E37" s="3" t="s">
        <v>98</v>
      </c>
      <c r="F37" s="6">
        <v>146385</v>
      </c>
      <c r="G37" s="6">
        <v>111224</v>
      </c>
      <c r="H37" s="6">
        <v>123572</v>
      </c>
      <c r="I37" s="6">
        <v>130136</v>
      </c>
      <c r="J37" s="6">
        <v>120879</v>
      </c>
      <c r="K37" s="6">
        <v>130818</v>
      </c>
      <c r="L37" s="6">
        <v>143150</v>
      </c>
      <c r="M37" s="6">
        <v>142423</v>
      </c>
      <c r="N37" s="6">
        <v>123990</v>
      </c>
      <c r="O37" s="6">
        <v>133123</v>
      </c>
      <c r="P37" s="6">
        <v>131800</v>
      </c>
      <c r="Q37" s="6">
        <v>149692</v>
      </c>
      <c r="R37" s="6">
        <v>163924</v>
      </c>
      <c r="S37" s="6">
        <v>118893</v>
      </c>
      <c r="T37" s="6">
        <v>132593</v>
      </c>
      <c r="U37" s="6">
        <v>138824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</row>
    <row r="38" spans="1:65" x14ac:dyDescent="0.25">
      <c r="A38" s="1">
        <v>144</v>
      </c>
      <c r="B38" s="1">
        <f>VLOOKUP(E38,'[2]Peajes (1)'!$A:$D,4,0)</f>
        <v>3849</v>
      </c>
      <c r="C38" s="3" t="s">
        <v>212</v>
      </c>
      <c r="D38" s="3" t="s">
        <v>213</v>
      </c>
      <c r="E38" s="3" t="s">
        <v>215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41122</v>
      </c>
      <c r="Z38" s="6">
        <v>92199</v>
      </c>
      <c r="AA38" s="6">
        <v>103655</v>
      </c>
      <c r="AB38" s="6">
        <v>101540</v>
      </c>
      <c r="AC38" s="6">
        <v>127022</v>
      </c>
      <c r="AD38" s="6">
        <v>127543</v>
      </c>
      <c r="AE38" s="6">
        <v>93046</v>
      </c>
      <c r="AF38" s="6">
        <v>114505</v>
      </c>
      <c r="AG38" s="6">
        <v>93310</v>
      </c>
      <c r="AH38" s="6">
        <v>99686</v>
      </c>
      <c r="AI38" s="6">
        <v>98885</v>
      </c>
      <c r="AJ38" s="6">
        <v>102272</v>
      </c>
      <c r="AK38" s="6">
        <v>105760</v>
      </c>
      <c r="AL38" s="6">
        <v>98755</v>
      </c>
      <c r="AM38" s="6">
        <v>110440</v>
      </c>
      <c r="AN38" s="6">
        <v>105912</v>
      </c>
      <c r="AO38" s="6">
        <v>130226</v>
      </c>
      <c r="AP38" s="6">
        <v>133065</v>
      </c>
      <c r="AQ38" s="6">
        <v>93746</v>
      </c>
      <c r="AR38" s="6">
        <v>102878</v>
      </c>
      <c r="AS38" s="6">
        <v>113547</v>
      </c>
      <c r="AT38" s="6">
        <v>100983</v>
      </c>
      <c r="AU38" s="6">
        <v>105736</v>
      </c>
      <c r="AV38" s="6">
        <v>108384</v>
      </c>
      <c r="AW38" s="6">
        <v>104394</v>
      </c>
      <c r="AX38" s="6">
        <v>99100</v>
      </c>
      <c r="AY38" s="6">
        <v>108634</v>
      </c>
      <c r="AZ38" s="6">
        <v>107765</v>
      </c>
      <c r="BA38" s="6">
        <v>130221</v>
      </c>
      <c r="BB38" s="6">
        <v>131486</v>
      </c>
      <c r="BC38" s="6">
        <v>90567</v>
      </c>
      <c r="BD38" s="6">
        <v>111073</v>
      </c>
      <c r="BE38" s="6">
        <v>102785</v>
      </c>
      <c r="BF38" s="6">
        <v>94591</v>
      </c>
      <c r="BG38" s="6">
        <v>95824</v>
      </c>
      <c r="BH38" s="6">
        <v>107793</v>
      </c>
      <c r="BI38" s="6">
        <v>103273</v>
      </c>
      <c r="BJ38" s="6">
        <v>96638</v>
      </c>
      <c r="BK38" s="6">
        <v>106857</v>
      </c>
      <c r="BL38" s="6">
        <v>103684</v>
      </c>
      <c r="BM38" s="6">
        <v>124633</v>
      </c>
    </row>
    <row r="39" spans="1:65" x14ac:dyDescent="0.25">
      <c r="A39" s="1">
        <v>39</v>
      </c>
      <c r="B39" s="1">
        <f>VLOOKUP(E39,'[2]Peajes (1)'!$A:$D,4,0)</f>
        <v>5605</v>
      </c>
      <c r="C39" s="3" t="s">
        <v>59</v>
      </c>
      <c r="D39" s="3" t="s">
        <v>60</v>
      </c>
      <c r="E39" s="3" t="s">
        <v>238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>
        <v>478917</v>
      </c>
      <c r="AE39" s="6">
        <v>371470</v>
      </c>
      <c r="AF39" s="6">
        <v>441557</v>
      </c>
      <c r="AG39" s="6">
        <v>378349</v>
      </c>
      <c r="AH39" s="6">
        <v>412094</v>
      </c>
      <c r="AI39" s="6">
        <v>401170</v>
      </c>
      <c r="AJ39" s="6">
        <v>450448</v>
      </c>
      <c r="AK39" s="6">
        <v>450908</v>
      </c>
      <c r="AL39" s="6">
        <v>406256</v>
      </c>
      <c r="AM39" s="6">
        <v>437743</v>
      </c>
      <c r="AN39" s="6">
        <v>432429</v>
      </c>
      <c r="AO39" s="6">
        <v>516584</v>
      </c>
      <c r="AP39" s="6">
        <v>494669</v>
      </c>
      <c r="AQ39" s="6">
        <v>383217</v>
      </c>
      <c r="AR39" s="6">
        <v>422395</v>
      </c>
      <c r="AS39" s="6">
        <v>456892</v>
      </c>
      <c r="AT39" s="6">
        <v>411845</v>
      </c>
      <c r="AU39" s="6">
        <v>433298</v>
      </c>
      <c r="AV39" s="6">
        <v>474233</v>
      </c>
      <c r="AW39" s="6">
        <v>463890</v>
      </c>
      <c r="AX39" s="6">
        <v>422763</v>
      </c>
      <c r="AY39" s="6">
        <v>452453</v>
      </c>
      <c r="AZ39" s="6">
        <v>441395</v>
      </c>
      <c r="BA39" s="6">
        <v>539453</v>
      </c>
      <c r="BB39" s="6">
        <v>513915</v>
      </c>
      <c r="BC39" s="6">
        <v>393678</v>
      </c>
      <c r="BD39" s="6">
        <v>477566</v>
      </c>
      <c r="BE39" s="6">
        <v>429964</v>
      </c>
      <c r="BF39" s="6">
        <v>425268</v>
      </c>
      <c r="BG39" s="6">
        <v>448723</v>
      </c>
      <c r="BH39" s="6">
        <v>486448</v>
      </c>
      <c r="BI39" s="6">
        <v>474464</v>
      </c>
      <c r="BJ39" s="6">
        <v>436729</v>
      </c>
      <c r="BK39" s="6">
        <v>469474</v>
      </c>
      <c r="BL39" s="6">
        <v>0</v>
      </c>
      <c r="BM39" s="6">
        <v>0</v>
      </c>
    </row>
    <row r="40" spans="1:65" x14ac:dyDescent="0.25">
      <c r="A40" s="1">
        <v>85</v>
      </c>
      <c r="B40" s="1">
        <f>VLOOKUP(E40,'[2]Peajes (1)'!$A:$D,4,0)</f>
        <v>3809</v>
      </c>
      <c r="C40" s="3" t="s">
        <v>121</v>
      </c>
      <c r="D40" s="3" t="s">
        <v>122</v>
      </c>
      <c r="E40" s="3" t="s">
        <v>123</v>
      </c>
      <c r="F40" s="6">
        <v>200666</v>
      </c>
      <c r="G40" s="6">
        <v>130126</v>
      </c>
      <c r="H40" s="6">
        <v>135226</v>
      </c>
      <c r="I40" s="6">
        <v>160972</v>
      </c>
      <c r="J40" s="6">
        <v>142880</v>
      </c>
      <c r="K40" s="6">
        <v>150458</v>
      </c>
      <c r="L40" s="6">
        <v>159520</v>
      </c>
      <c r="M40" s="6">
        <v>144892</v>
      </c>
      <c r="N40" s="6">
        <v>136266</v>
      </c>
      <c r="O40" s="6">
        <v>154475</v>
      </c>
      <c r="P40" s="6">
        <v>149424</v>
      </c>
      <c r="Q40" s="6">
        <v>176236</v>
      </c>
      <c r="R40" s="6">
        <v>202594</v>
      </c>
      <c r="S40" s="6">
        <v>140825</v>
      </c>
      <c r="T40" s="6">
        <v>155703</v>
      </c>
      <c r="U40" s="6">
        <v>159777</v>
      </c>
      <c r="V40" s="6">
        <v>151597</v>
      </c>
      <c r="W40" s="6">
        <v>154531</v>
      </c>
      <c r="X40" s="6">
        <v>160820</v>
      </c>
      <c r="Y40" s="6">
        <v>152682</v>
      </c>
      <c r="Z40" s="6">
        <v>143598</v>
      </c>
      <c r="AA40" s="6">
        <v>160513</v>
      </c>
      <c r="AB40" s="6">
        <v>151538</v>
      </c>
      <c r="AC40" s="6">
        <v>182945</v>
      </c>
      <c r="AD40" s="6">
        <v>211825</v>
      </c>
      <c r="AE40" s="6">
        <v>131599</v>
      </c>
      <c r="AF40" s="6">
        <v>161149</v>
      </c>
      <c r="AG40" s="6">
        <v>136975</v>
      </c>
      <c r="AH40" s="6">
        <v>140858</v>
      </c>
      <c r="AI40" s="6">
        <v>146092</v>
      </c>
      <c r="AJ40" s="6">
        <v>146860</v>
      </c>
      <c r="AK40" s="6">
        <v>154534</v>
      </c>
      <c r="AL40" s="6">
        <v>144892</v>
      </c>
      <c r="AM40" s="6">
        <v>157618</v>
      </c>
      <c r="AN40" s="6">
        <v>156959</v>
      </c>
      <c r="AO40" s="6">
        <v>190743</v>
      </c>
      <c r="AP40" s="6">
        <v>224805</v>
      </c>
      <c r="AQ40" s="6">
        <v>143317</v>
      </c>
      <c r="AR40" s="6">
        <v>158351</v>
      </c>
      <c r="AS40" s="6">
        <v>163969</v>
      </c>
      <c r="AT40" s="6">
        <v>153408</v>
      </c>
      <c r="AU40" s="6">
        <v>159482</v>
      </c>
      <c r="AV40" s="6">
        <v>152893</v>
      </c>
      <c r="AW40" s="6">
        <v>148292</v>
      </c>
      <c r="AX40" s="6">
        <v>141500</v>
      </c>
      <c r="AY40" s="6">
        <v>156461</v>
      </c>
      <c r="AZ40" s="6">
        <v>148602</v>
      </c>
      <c r="BA40" s="6">
        <v>186196</v>
      </c>
      <c r="BB40" s="6">
        <v>219416</v>
      </c>
      <c r="BC40" s="6">
        <v>132320</v>
      </c>
      <c r="BD40" s="6">
        <v>163364</v>
      </c>
      <c r="BE40" s="6">
        <v>160105</v>
      </c>
      <c r="BF40" s="6">
        <v>154196</v>
      </c>
      <c r="BG40" s="6">
        <v>163544</v>
      </c>
      <c r="BH40" s="6">
        <v>167693</v>
      </c>
      <c r="BI40" s="6">
        <v>154902</v>
      </c>
      <c r="BJ40" s="6">
        <v>145767</v>
      </c>
      <c r="BK40" s="6">
        <v>162046</v>
      </c>
      <c r="BL40" s="6">
        <v>154900</v>
      </c>
      <c r="BM40" s="6">
        <v>191343</v>
      </c>
    </row>
    <row r="41" spans="1:65" x14ac:dyDescent="0.25">
      <c r="A41" s="1">
        <v>24</v>
      </c>
      <c r="B41" s="1">
        <f>VLOOKUP(E41,'[2]Peajes (1)'!$A:$D,4,0)</f>
        <v>3966</v>
      </c>
      <c r="C41" s="3" t="s">
        <v>37</v>
      </c>
      <c r="D41" s="3" t="s">
        <v>38</v>
      </c>
      <c r="E41" s="3" t="s">
        <v>239</v>
      </c>
      <c r="F41" s="6">
        <v>270050</v>
      </c>
      <c r="G41" s="6">
        <v>235084</v>
      </c>
      <c r="H41" s="6">
        <v>260265</v>
      </c>
      <c r="I41" s="6">
        <v>259020</v>
      </c>
      <c r="J41" s="6">
        <v>248709</v>
      </c>
      <c r="K41" s="6">
        <v>254446</v>
      </c>
      <c r="L41" s="6">
        <v>264972</v>
      </c>
      <c r="M41" s="6">
        <v>273437</v>
      </c>
      <c r="N41" s="6">
        <v>258878</v>
      </c>
      <c r="O41" s="6">
        <v>271926</v>
      </c>
      <c r="P41" s="6">
        <v>257628</v>
      </c>
      <c r="Q41" s="6">
        <v>276196</v>
      </c>
      <c r="R41" s="6">
        <v>279776</v>
      </c>
      <c r="S41" s="6">
        <v>244477</v>
      </c>
      <c r="T41" s="6">
        <v>269752</v>
      </c>
      <c r="U41" s="6">
        <v>264620</v>
      </c>
      <c r="V41" s="6">
        <v>280791</v>
      </c>
      <c r="W41" s="6">
        <v>274776</v>
      </c>
      <c r="X41" s="6">
        <v>287939</v>
      </c>
      <c r="Y41" s="6">
        <v>287019</v>
      </c>
      <c r="Z41" s="6">
        <v>273620</v>
      </c>
      <c r="AA41" s="6">
        <v>284811</v>
      </c>
      <c r="AB41" s="6">
        <v>276485</v>
      </c>
      <c r="AC41" s="6">
        <v>294552</v>
      </c>
      <c r="AD41" s="6">
        <v>298387</v>
      </c>
      <c r="AE41" s="6">
        <v>264622</v>
      </c>
      <c r="AF41" s="6">
        <v>282953</v>
      </c>
      <c r="AG41" s="6">
        <v>270446</v>
      </c>
      <c r="AH41" s="6">
        <v>288836</v>
      </c>
      <c r="AI41" s="6">
        <v>279452</v>
      </c>
      <c r="AJ41" s="6">
        <v>288443</v>
      </c>
      <c r="AK41" s="6">
        <v>299599</v>
      </c>
      <c r="AL41" s="6">
        <v>288888</v>
      </c>
      <c r="AM41" s="6">
        <v>301450</v>
      </c>
      <c r="AN41" s="6">
        <v>289426</v>
      </c>
      <c r="AO41" s="6">
        <v>307317</v>
      </c>
      <c r="AP41" s="6">
        <v>309282</v>
      </c>
      <c r="AQ41" s="6">
        <v>270079</v>
      </c>
      <c r="AR41" s="6">
        <v>294673</v>
      </c>
      <c r="AS41" s="6">
        <v>287688</v>
      </c>
      <c r="AT41" s="6">
        <v>301061</v>
      </c>
      <c r="AU41" s="6">
        <v>290650</v>
      </c>
      <c r="AV41" s="6">
        <v>309007</v>
      </c>
      <c r="AW41" s="6">
        <v>302962</v>
      </c>
      <c r="AX41" s="6">
        <v>283487</v>
      </c>
      <c r="AY41" s="6">
        <v>298882</v>
      </c>
      <c r="AZ41" s="6">
        <v>288721</v>
      </c>
      <c r="BA41" s="6">
        <v>308070</v>
      </c>
      <c r="BB41" s="6">
        <v>309681</v>
      </c>
      <c r="BC41" s="6">
        <v>267127</v>
      </c>
      <c r="BD41" s="6">
        <v>296647</v>
      </c>
      <c r="BE41" s="6">
        <v>273396</v>
      </c>
      <c r="BF41" s="6">
        <v>294099</v>
      </c>
      <c r="BG41" s="6">
        <v>288437</v>
      </c>
      <c r="BH41" s="6">
        <v>308166</v>
      </c>
      <c r="BI41" s="6">
        <v>303272</v>
      </c>
      <c r="BJ41" s="6">
        <v>293726</v>
      </c>
      <c r="BK41" s="6">
        <v>304566</v>
      </c>
      <c r="BL41" s="6">
        <v>292525</v>
      </c>
      <c r="BM41" s="6">
        <v>314172</v>
      </c>
    </row>
    <row r="42" spans="1:65" x14ac:dyDescent="0.25">
      <c r="A42" s="1">
        <v>86</v>
      </c>
      <c r="B42" s="1">
        <f>VLOOKUP(E42,'[2]Peajes (1)'!$A:$D,4,0)</f>
        <v>3827</v>
      </c>
      <c r="C42" s="3" t="s">
        <v>121</v>
      </c>
      <c r="D42" s="3" t="s">
        <v>122</v>
      </c>
      <c r="E42" s="3" t="s">
        <v>124</v>
      </c>
      <c r="F42" s="6">
        <v>74307</v>
      </c>
      <c r="G42" s="6">
        <v>54016</v>
      </c>
      <c r="H42" s="6">
        <v>59668</v>
      </c>
      <c r="I42" s="6">
        <v>67264</v>
      </c>
      <c r="J42" s="6">
        <v>62307</v>
      </c>
      <c r="K42" s="6">
        <v>64028</v>
      </c>
      <c r="L42" s="6">
        <v>66991</v>
      </c>
      <c r="M42" s="6">
        <v>64279</v>
      </c>
      <c r="N42" s="6">
        <v>61175</v>
      </c>
      <c r="O42" s="6">
        <v>66851</v>
      </c>
      <c r="P42" s="6">
        <v>62891</v>
      </c>
      <c r="Q42" s="6">
        <v>74248</v>
      </c>
      <c r="R42" s="6">
        <v>79228</v>
      </c>
      <c r="S42" s="6">
        <v>60848</v>
      </c>
      <c r="T42" s="6">
        <v>69312</v>
      </c>
      <c r="U42" s="6">
        <v>70470</v>
      </c>
      <c r="V42" s="6">
        <v>67927</v>
      </c>
      <c r="W42" s="6">
        <v>68701</v>
      </c>
      <c r="X42" s="6">
        <v>73393</v>
      </c>
      <c r="Y42" s="6">
        <v>66017</v>
      </c>
      <c r="Z42" s="6">
        <v>64051</v>
      </c>
      <c r="AA42" s="6">
        <v>71682</v>
      </c>
      <c r="AB42" s="6">
        <v>69299</v>
      </c>
      <c r="AC42" s="6">
        <v>81635</v>
      </c>
      <c r="AD42" s="6">
        <v>87705</v>
      </c>
      <c r="AE42" s="6">
        <v>67980</v>
      </c>
      <c r="AF42" s="6">
        <v>75815</v>
      </c>
      <c r="AG42" s="6">
        <v>70197</v>
      </c>
      <c r="AH42" s="6">
        <v>65206</v>
      </c>
      <c r="AI42" s="6">
        <v>68259</v>
      </c>
      <c r="AJ42" s="6">
        <v>69755</v>
      </c>
      <c r="AK42" s="6">
        <v>80034</v>
      </c>
      <c r="AL42" s="6">
        <v>79591</v>
      </c>
      <c r="AM42" s="6">
        <v>87757</v>
      </c>
      <c r="AN42" s="6">
        <v>90128</v>
      </c>
      <c r="AO42" s="6">
        <v>97550</v>
      </c>
      <c r="AP42" s="6">
        <v>109460</v>
      </c>
      <c r="AQ42" s="6">
        <v>92143</v>
      </c>
      <c r="AR42" s="6">
        <v>97911</v>
      </c>
      <c r="AS42" s="6">
        <v>75652</v>
      </c>
      <c r="AT42" s="6">
        <v>76948</v>
      </c>
      <c r="AU42" s="6">
        <v>79330</v>
      </c>
      <c r="AV42" s="6">
        <v>70526</v>
      </c>
      <c r="AW42" s="6">
        <v>66535</v>
      </c>
      <c r="AX42" s="6">
        <v>65171</v>
      </c>
      <c r="AY42" s="6">
        <v>68767</v>
      </c>
      <c r="AZ42" s="6">
        <v>69522</v>
      </c>
      <c r="BA42" s="6">
        <v>81481</v>
      </c>
      <c r="BB42" s="6">
        <v>86695</v>
      </c>
      <c r="BC42" s="6">
        <v>61526</v>
      </c>
      <c r="BD42" s="6">
        <v>74541</v>
      </c>
      <c r="BE42" s="6">
        <v>70055</v>
      </c>
      <c r="BF42" s="6">
        <v>67876</v>
      </c>
      <c r="BG42" s="6">
        <v>74031</v>
      </c>
      <c r="BH42" s="6">
        <v>74735</v>
      </c>
      <c r="BI42" s="6">
        <v>71890</v>
      </c>
      <c r="BJ42" s="6">
        <v>68799</v>
      </c>
      <c r="BK42" s="6">
        <v>73543</v>
      </c>
      <c r="BL42" s="6">
        <v>71922</v>
      </c>
      <c r="BM42" s="6">
        <v>85123</v>
      </c>
    </row>
    <row r="43" spans="1:65" x14ac:dyDescent="0.25">
      <c r="A43" s="1">
        <v>35</v>
      </c>
      <c r="B43" s="1">
        <f>VLOOKUP(E43,'[2]Peajes (1)'!$A:$D,4,0)</f>
        <v>3845</v>
      </c>
      <c r="C43" s="3" t="s">
        <v>53</v>
      </c>
      <c r="D43" s="3" t="s">
        <v>54</v>
      </c>
      <c r="E43" s="3" t="s">
        <v>56</v>
      </c>
      <c r="F43" s="6">
        <v>82203</v>
      </c>
      <c r="G43" s="6">
        <v>60554</v>
      </c>
      <c r="H43" s="6">
        <v>65592</v>
      </c>
      <c r="I43" s="6">
        <v>70563</v>
      </c>
      <c r="J43" s="6">
        <v>62507</v>
      </c>
      <c r="K43" s="6">
        <v>66024</v>
      </c>
      <c r="L43" s="6">
        <v>71939</v>
      </c>
      <c r="M43" s="6">
        <v>66627</v>
      </c>
      <c r="N43" s="6">
        <v>60077</v>
      </c>
      <c r="O43" s="6">
        <v>60982</v>
      </c>
      <c r="P43" s="6">
        <v>58807</v>
      </c>
      <c r="Q43" s="6">
        <v>69885</v>
      </c>
      <c r="R43" s="6">
        <v>72108</v>
      </c>
      <c r="S43" s="6">
        <v>56022</v>
      </c>
      <c r="T43" s="6">
        <v>60790</v>
      </c>
      <c r="U43" s="6">
        <v>65216</v>
      </c>
      <c r="V43" s="6">
        <v>64247</v>
      </c>
      <c r="W43" s="6">
        <v>65089</v>
      </c>
      <c r="X43" s="6">
        <v>67847</v>
      </c>
      <c r="Y43" s="6">
        <v>67424</v>
      </c>
      <c r="Z43" s="6">
        <v>60208</v>
      </c>
      <c r="AA43" s="6">
        <v>62864</v>
      </c>
      <c r="AB43" s="6">
        <v>62267</v>
      </c>
      <c r="AC43" s="6">
        <v>73056</v>
      </c>
      <c r="AD43" s="6">
        <v>76405</v>
      </c>
      <c r="AE43" s="6">
        <v>59804</v>
      </c>
      <c r="AF43" s="6">
        <v>72422</v>
      </c>
      <c r="AG43" s="6">
        <v>59611</v>
      </c>
      <c r="AH43" s="6">
        <v>58418</v>
      </c>
      <c r="AI43" s="6">
        <v>64022</v>
      </c>
      <c r="AJ43" s="6">
        <v>72289</v>
      </c>
      <c r="AK43" s="6">
        <v>68281</v>
      </c>
      <c r="AL43" s="6">
        <v>66594</v>
      </c>
      <c r="AM43" s="6">
        <v>71597</v>
      </c>
      <c r="AN43" s="6">
        <v>69316</v>
      </c>
      <c r="AO43" s="6">
        <v>78334</v>
      </c>
      <c r="AP43" s="6">
        <v>82881</v>
      </c>
      <c r="AQ43" s="6">
        <v>63814</v>
      </c>
      <c r="AR43" s="6">
        <v>67751</v>
      </c>
      <c r="AS43" s="6">
        <v>73452</v>
      </c>
      <c r="AT43" s="6">
        <v>64955</v>
      </c>
      <c r="AU43" s="6">
        <v>69908</v>
      </c>
      <c r="AV43" s="6">
        <v>74231</v>
      </c>
      <c r="AW43" s="6">
        <v>70787</v>
      </c>
      <c r="AX43" s="6">
        <v>67898</v>
      </c>
      <c r="AY43" s="6">
        <v>73741</v>
      </c>
      <c r="AZ43" s="6">
        <v>70073</v>
      </c>
      <c r="BA43" s="6">
        <v>83757</v>
      </c>
      <c r="BB43" s="6">
        <v>87311</v>
      </c>
      <c r="BC43" s="6">
        <v>65127</v>
      </c>
      <c r="BD43" s="6">
        <v>80070</v>
      </c>
      <c r="BE43" s="6">
        <v>71488</v>
      </c>
      <c r="BF43" s="6">
        <v>68998</v>
      </c>
      <c r="BG43" s="6">
        <v>72526</v>
      </c>
      <c r="BH43" s="6">
        <v>80554</v>
      </c>
      <c r="BI43" s="6">
        <v>75638</v>
      </c>
      <c r="BJ43" s="6">
        <v>70850</v>
      </c>
      <c r="BK43" s="6">
        <v>73013</v>
      </c>
      <c r="BL43" s="6">
        <v>70929</v>
      </c>
      <c r="BM43" s="6">
        <v>86845</v>
      </c>
    </row>
    <row r="44" spans="1:65" x14ac:dyDescent="0.25">
      <c r="A44" s="1">
        <v>47</v>
      </c>
      <c r="B44" s="1">
        <f>VLOOKUP(E44,'[2]Peajes (1)'!$A:$D,4,0)</f>
        <v>3833</v>
      </c>
      <c r="C44" s="3" t="s">
        <v>70</v>
      </c>
      <c r="D44" s="3" t="s">
        <v>71</v>
      </c>
      <c r="E44" s="3" t="s">
        <v>72</v>
      </c>
      <c r="F44" s="6">
        <v>114387</v>
      </c>
      <c r="G44" s="6">
        <v>104388</v>
      </c>
      <c r="H44" s="6">
        <v>114123</v>
      </c>
      <c r="I44" s="6">
        <v>110894</v>
      </c>
      <c r="J44" s="6">
        <v>122681</v>
      </c>
      <c r="K44" s="6">
        <v>121560</v>
      </c>
      <c r="L44" s="6">
        <v>136563</v>
      </c>
      <c r="M44" s="6">
        <v>135118</v>
      </c>
      <c r="N44" s="6">
        <v>125795</v>
      </c>
      <c r="O44" s="6">
        <v>121738</v>
      </c>
      <c r="P44" s="6">
        <v>118482</v>
      </c>
      <c r="Q44" s="6">
        <v>127057</v>
      </c>
      <c r="R44" s="6">
        <v>105140</v>
      </c>
      <c r="S44" s="6">
        <v>104088</v>
      </c>
      <c r="T44" s="6">
        <v>114394</v>
      </c>
      <c r="U44" s="6">
        <v>107817</v>
      </c>
      <c r="V44" s="6">
        <v>116889</v>
      </c>
      <c r="W44" s="6">
        <v>109361</v>
      </c>
      <c r="X44" s="6">
        <v>113174</v>
      </c>
      <c r="Y44" s="6">
        <v>96954</v>
      </c>
      <c r="Z44" s="6">
        <v>72179</v>
      </c>
      <c r="AA44" s="6">
        <v>75382</v>
      </c>
      <c r="AB44" s="6">
        <v>72824</v>
      </c>
      <c r="AC44" s="6">
        <v>76589</v>
      </c>
      <c r="AD44" s="6">
        <v>66963</v>
      </c>
      <c r="AE44" s="6">
        <v>71955</v>
      </c>
      <c r="AF44" s="6">
        <v>71917</v>
      </c>
      <c r="AG44" s="6">
        <v>75100</v>
      </c>
      <c r="AH44" s="6">
        <v>75916</v>
      </c>
      <c r="AI44" s="6">
        <v>71642</v>
      </c>
      <c r="AJ44" s="6">
        <v>79769</v>
      </c>
      <c r="AK44" s="6">
        <v>87755</v>
      </c>
      <c r="AL44" s="6">
        <v>93932</v>
      </c>
      <c r="AM44" s="6">
        <v>95902</v>
      </c>
      <c r="AN44" s="6">
        <v>92443</v>
      </c>
      <c r="AO44" s="6">
        <v>101253</v>
      </c>
      <c r="AP44" s="6">
        <v>88582</v>
      </c>
      <c r="AQ44" s="6">
        <v>87447</v>
      </c>
      <c r="AR44" s="6">
        <v>98239</v>
      </c>
      <c r="AS44" s="6">
        <v>89867</v>
      </c>
      <c r="AT44" s="6">
        <v>92121</v>
      </c>
      <c r="AU44" s="6">
        <v>90344</v>
      </c>
      <c r="AV44" s="6">
        <v>96561</v>
      </c>
      <c r="AW44" s="6">
        <v>101556</v>
      </c>
      <c r="AX44" s="6">
        <v>102639</v>
      </c>
      <c r="AY44" s="6">
        <v>105361</v>
      </c>
      <c r="AZ44" s="6">
        <v>102396</v>
      </c>
      <c r="BA44" s="6">
        <v>112540</v>
      </c>
      <c r="BB44" s="6">
        <v>93452</v>
      </c>
      <c r="BC44" s="6">
        <v>96997</v>
      </c>
      <c r="BD44" s="6">
        <v>108377</v>
      </c>
      <c r="BE44" s="6">
        <v>109868</v>
      </c>
      <c r="BF44" s="6">
        <v>109740</v>
      </c>
      <c r="BG44" s="6">
        <v>106294</v>
      </c>
      <c r="BH44" s="6">
        <v>114685</v>
      </c>
      <c r="BI44" s="6">
        <v>118786</v>
      </c>
      <c r="BJ44" s="6">
        <v>116398</v>
      </c>
      <c r="BK44" s="6">
        <v>121039</v>
      </c>
      <c r="BL44" s="6">
        <v>121283</v>
      </c>
      <c r="BM44" s="6">
        <v>137281</v>
      </c>
    </row>
    <row r="45" spans="1:65" x14ac:dyDescent="0.25">
      <c r="A45" s="1">
        <v>77</v>
      </c>
      <c r="B45" s="1">
        <f>VLOOKUP(E45,'[2]Peajes (1)'!$A:$D,4,0)</f>
        <v>3852</v>
      </c>
      <c r="C45" s="3" t="s">
        <v>109</v>
      </c>
      <c r="D45" s="3" t="s">
        <v>110</v>
      </c>
      <c r="E45" s="3" t="s">
        <v>111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57453</v>
      </c>
      <c r="Q45" s="6">
        <v>142651</v>
      </c>
      <c r="R45" s="6">
        <v>154480</v>
      </c>
      <c r="S45" s="6">
        <v>94709</v>
      </c>
      <c r="T45" s="6">
        <v>107283</v>
      </c>
      <c r="U45" s="6">
        <v>115248</v>
      </c>
      <c r="V45" s="6">
        <v>104278</v>
      </c>
      <c r="W45" s="6">
        <v>121803</v>
      </c>
      <c r="X45" s="6">
        <v>134223</v>
      </c>
      <c r="Y45" s="6">
        <v>134074</v>
      </c>
      <c r="Z45" s="6">
        <v>120973</v>
      </c>
      <c r="AA45" s="6">
        <v>135109</v>
      </c>
      <c r="AB45" s="6">
        <v>124813</v>
      </c>
      <c r="AC45" s="6">
        <v>180873</v>
      </c>
      <c r="AD45" s="6">
        <v>185748</v>
      </c>
      <c r="AE45" s="6">
        <v>103027</v>
      </c>
      <c r="AF45" s="6">
        <v>135538</v>
      </c>
      <c r="AG45" s="6">
        <v>99077</v>
      </c>
      <c r="AH45" s="6">
        <v>108304</v>
      </c>
      <c r="AI45" s="6">
        <v>112837</v>
      </c>
      <c r="AJ45" s="6">
        <v>117715</v>
      </c>
      <c r="AK45" s="6">
        <v>121292</v>
      </c>
      <c r="AL45" s="6">
        <v>105371</v>
      </c>
      <c r="AM45" s="6">
        <v>125948</v>
      </c>
      <c r="AN45" s="6">
        <v>123419</v>
      </c>
      <c r="AO45" s="6">
        <v>168667</v>
      </c>
      <c r="AP45" s="6">
        <v>180792</v>
      </c>
      <c r="AQ45" s="6">
        <v>98445</v>
      </c>
      <c r="AR45" s="6">
        <v>111847</v>
      </c>
      <c r="AS45" s="6">
        <v>134794</v>
      </c>
      <c r="AT45" s="6">
        <v>126710</v>
      </c>
      <c r="AU45" s="6">
        <v>131718</v>
      </c>
      <c r="AV45" s="6">
        <v>129937</v>
      </c>
      <c r="AW45" s="6">
        <v>132154</v>
      </c>
      <c r="AX45" s="6">
        <v>115691</v>
      </c>
      <c r="AY45" s="6">
        <v>138126</v>
      </c>
      <c r="AZ45" s="6">
        <v>131109</v>
      </c>
      <c r="BA45" s="6">
        <v>184531</v>
      </c>
      <c r="BB45" s="6">
        <v>191762</v>
      </c>
      <c r="BC45" s="6">
        <v>103556</v>
      </c>
      <c r="BD45" s="6">
        <v>134299</v>
      </c>
      <c r="BE45" s="6">
        <v>119646</v>
      </c>
      <c r="BF45" s="6">
        <v>113442</v>
      </c>
      <c r="BG45" s="6">
        <v>126014</v>
      </c>
      <c r="BH45" s="6">
        <v>131813</v>
      </c>
      <c r="BI45" s="6">
        <v>127193</v>
      </c>
      <c r="BJ45" s="6">
        <v>111517</v>
      </c>
      <c r="BK45" s="6">
        <v>129817</v>
      </c>
      <c r="BL45" s="6">
        <v>128384</v>
      </c>
      <c r="BM45" s="6">
        <v>190185</v>
      </c>
    </row>
    <row r="46" spans="1:65" x14ac:dyDescent="0.25">
      <c r="A46" s="8">
        <v>134</v>
      </c>
      <c r="B46" s="1">
        <f>VLOOKUP(E46,'[2]Peajes (1)'!$A:$D,4,0)</f>
        <v>3946</v>
      </c>
      <c r="C46" s="8" t="s">
        <v>199</v>
      </c>
      <c r="D46" s="8" t="s">
        <v>200</v>
      </c>
      <c r="E46" s="8" t="s">
        <v>50</v>
      </c>
      <c r="F46" s="6">
        <v>126970</v>
      </c>
      <c r="G46" s="6">
        <v>89222</v>
      </c>
      <c r="H46" s="6">
        <v>95037</v>
      </c>
      <c r="I46" s="6">
        <v>110216</v>
      </c>
      <c r="J46" s="6">
        <v>85349</v>
      </c>
      <c r="K46" s="6">
        <v>119215</v>
      </c>
      <c r="L46" s="6">
        <v>110338</v>
      </c>
      <c r="M46" s="6">
        <v>103150</v>
      </c>
      <c r="N46" s="6">
        <v>94599</v>
      </c>
      <c r="O46" s="6">
        <v>108920</v>
      </c>
      <c r="P46" s="6">
        <v>102750</v>
      </c>
      <c r="Q46" s="6">
        <v>131446</v>
      </c>
      <c r="R46" s="6">
        <v>126687</v>
      </c>
      <c r="S46" s="6">
        <v>84261</v>
      </c>
      <c r="T46" s="6">
        <v>98687</v>
      </c>
      <c r="U46" s="6">
        <v>102209</v>
      </c>
      <c r="V46" s="6">
        <v>97660</v>
      </c>
      <c r="W46" s="6">
        <v>125220</v>
      </c>
      <c r="X46" s="6">
        <v>112379</v>
      </c>
      <c r="Y46" s="6">
        <v>105721</v>
      </c>
      <c r="Z46" s="6">
        <v>95457</v>
      </c>
      <c r="AA46" s="6">
        <v>110423</v>
      </c>
      <c r="AB46" s="6">
        <v>103972</v>
      </c>
      <c r="AC46" s="6">
        <v>136824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41298</v>
      </c>
      <c r="AJ46" s="6">
        <v>122051</v>
      </c>
      <c r="AK46" s="6">
        <v>110620</v>
      </c>
      <c r="AL46" s="6">
        <v>97886</v>
      </c>
      <c r="AM46" s="6">
        <v>115023</v>
      </c>
      <c r="AN46" s="6">
        <v>109246</v>
      </c>
      <c r="AO46" s="6">
        <v>139593</v>
      </c>
      <c r="AP46" s="6">
        <v>137859</v>
      </c>
      <c r="AQ46" s="6">
        <v>88554</v>
      </c>
      <c r="AR46" s="6">
        <v>100269</v>
      </c>
      <c r="AS46" s="6">
        <v>118793</v>
      </c>
      <c r="AT46" s="6">
        <v>100145</v>
      </c>
      <c r="AU46" s="6">
        <v>120150</v>
      </c>
      <c r="AV46" s="6">
        <v>126602</v>
      </c>
      <c r="AW46" s="6">
        <v>109917</v>
      </c>
      <c r="AX46" s="6">
        <v>98084</v>
      </c>
      <c r="AY46" s="6">
        <v>114768</v>
      </c>
      <c r="AZ46" s="6">
        <v>109578</v>
      </c>
      <c r="BA46" s="6">
        <v>146144</v>
      </c>
      <c r="BB46" s="6">
        <v>143371</v>
      </c>
      <c r="BC46" s="6">
        <v>89177</v>
      </c>
      <c r="BD46" s="6">
        <v>119658</v>
      </c>
      <c r="BE46" s="6">
        <v>102212</v>
      </c>
      <c r="BF46" s="6">
        <v>101423</v>
      </c>
      <c r="BG46" s="6">
        <v>122572</v>
      </c>
      <c r="BH46" s="6">
        <v>126207</v>
      </c>
      <c r="BI46" s="6">
        <v>110736</v>
      </c>
      <c r="BJ46" s="6">
        <v>99276</v>
      </c>
      <c r="BK46" s="6">
        <v>117698</v>
      </c>
      <c r="BL46" s="6">
        <v>112811</v>
      </c>
      <c r="BM46" s="6">
        <v>145866</v>
      </c>
    </row>
    <row r="47" spans="1:65" hidden="1" x14ac:dyDescent="0.25">
      <c r="A47" s="8">
        <v>69</v>
      </c>
      <c r="B47" s="1">
        <f>VLOOKUP(E47,'[2]Peajes (1)'!$A:$D,4,0)</f>
        <v>3918</v>
      </c>
      <c r="C47" s="8" t="s">
        <v>95</v>
      </c>
      <c r="D47" s="8" t="s">
        <v>96</v>
      </c>
      <c r="E47" s="8" t="s">
        <v>99</v>
      </c>
      <c r="F47" s="6">
        <v>161227</v>
      </c>
      <c r="G47" s="6">
        <v>128815</v>
      </c>
      <c r="H47" s="6">
        <v>141765</v>
      </c>
      <c r="I47" s="6">
        <v>149031</v>
      </c>
      <c r="J47" s="6">
        <v>140918</v>
      </c>
      <c r="K47" s="6">
        <v>146426</v>
      </c>
      <c r="L47" s="6">
        <v>160124</v>
      </c>
      <c r="M47" s="6">
        <v>158045</v>
      </c>
      <c r="N47" s="6">
        <v>143844</v>
      </c>
      <c r="O47" s="6">
        <v>152908</v>
      </c>
      <c r="P47" s="6">
        <v>176330</v>
      </c>
      <c r="Q47" s="6">
        <v>183110</v>
      </c>
      <c r="R47" s="6">
        <v>183020</v>
      </c>
      <c r="S47" s="6">
        <v>144988</v>
      </c>
      <c r="T47" s="6">
        <v>152616</v>
      </c>
      <c r="U47" s="6">
        <v>165665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</row>
    <row r="48" spans="1:65" s="10" customFormat="1" hidden="1" x14ac:dyDescent="0.25">
      <c r="A48" s="8">
        <v>145</v>
      </c>
      <c r="B48" s="1">
        <f>VLOOKUP(E48,'[2]Peajes (1)'!$A:$D,4,0)</f>
        <v>3918</v>
      </c>
      <c r="C48" s="8" t="s">
        <v>216</v>
      </c>
      <c r="D48" s="8" t="s">
        <v>217</v>
      </c>
      <c r="E48" s="8" t="s">
        <v>99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24337</v>
      </c>
      <c r="AB48" s="6">
        <v>178209</v>
      </c>
      <c r="AC48" s="6">
        <v>218866</v>
      </c>
      <c r="AD48" s="6">
        <v>208113</v>
      </c>
      <c r="AE48" s="6">
        <v>170098</v>
      </c>
      <c r="AF48" s="6">
        <v>196233</v>
      </c>
      <c r="AG48" s="6">
        <v>181944</v>
      </c>
      <c r="AH48" s="6">
        <v>191710</v>
      </c>
      <c r="AI48" s="6">
        <v>148897</v>
      </c>
      <c r="AJ48" s="6">
        <v>171091</v>
      </c>
      <c r="AK48" s="6">
        <v>218581</v>
      </c>
      <c r="AL48" s="6">
        <v>183318</v>
      </c>
      <c r="AM48" s="6">
        <v>190771</v>
      </c>
      <c r="AN48" s="6">
        <v>191326</v>
      </c>
      <c r="AO48" s="6">
        <v>223790</v>
      </c>
      <c r="AP48" s="6">
        <v>210720</v>
      </c>
      <c r="AQ48" s="6">
        <v>166320</v>
      </c>
      <c r="AR48" s="6">
        <v>172627</v>
      </c>
      <c r="AS48" s="6">
        <v>181314</v>
      </c>
      <c r="AT48" s="6">
        <v>177797</v>
      </c>
      <c r="AU48" s="6">
        <v>177723</v>
      </c>
      <c r="AV48" s="6">
        <v>198242</v>
      </c>
      <c r="AW48" s="6">
        <v>195191</v>
      </c>
      <c r="AX48" s="6">
        <v>179543</v>
      </c>
      <c r="AY48" s="6">
        <v>183131</v>
      </c>
      <c r="AZ48" s="6">
        <v>182251</v>
      </c>
      <c r="BA48" s="6">
        <v>219630</v>
      </c>
      <c r="BB48" s="6">
        <v>212383</v>
      </c>
      <c r="BC48" s="6">
        <v>166550</v>
      </c>
      <c r="BD48" s="6">
        <v>197465</v>
      </c>
      <c r="BE48" s="6">
        <v>183944</v>
      </c>
      <c r="BF48" s="6">
        <v>188553</v>
      </c>
      <c r="BG48" s="6">
        <v>187283</v>
      </c>
      <c r="BH48" s="6">
        <v>202059</v>
      </c>
      <c r="BI48" s="6">
        <v>195734</v>
      </c>
      <c r="BJ48" s="6">
        <v>179559</v>
      </c>
      <c r="BK48" s="6">
        <v>182497</v>
      </c>
      <c r="BL48" s="6">
        <v>172724</v>
      </c>
      <c r="BM48" s="6">
        <v>198026</v>
      </c>
    </row>
    <row r="49" spans="1:65" s="10" customFormat="1" x14ac:dyDescent="0.25">
      <c r="A49" s="8">
        <v>145</v>
      </c>
      <c r="B49" s="1">
        <f>VLOOKUP(E49,'[2]Peajes (1)'!$A:$D,4,0)</f>
        <v>3918</v>
      </c>
      <c r="C49" s="8" t="s">
        <v>216</v>
      </c>
      <c r="D49" s="8" t="s">
        <v>217</v>
      </c>
      <c r="E49" s="8" t="s">
        <v>99</v>
      </c>
      <c r="F49" s="6">
        <f>SUM(F47:F48)</f>
        <v>161227</v>
      </c>
      <c r="G49" s="6">
        <f t="shared" ref="G49:BM49" si="3">SUM(G47:G48)</f>
        <v>128815</v>
      </c>
      <c r="H49" s="6">
        <f t="shared" si="3"/>
        <v>141765</v>
      </c>
      <c r="I49" s="6">
        <f t="shared" si="3"/>
        <v>149031</v>
      </c>
      <c r="J49" s="6">
        <f t="shared" si="3"/>
        <v>140918</v>
      </c>
      <c r="K49" s="6">
        <f t="shared" si="3"/>
        <v>146426</v>
      </c>
      <c r="L49" s="6">
        <f t="shared" si="3"/>
        <v>160124</v>
      </c>
      <c r="M49" s="6">
        <f t="shared" si="3"/>
        <v>158045</v>
      </c>
      <c r="N49" s="6">
        <f t="shared" si="3"/>
        <v>143844</v>
      </c>
      <c r="O49" s="6">
        <f t="shared" si="3"/>
        <v>152908</v>
      </c>
      <c r="P49" s="6">
        <f t="shared" si="3"/>
        <v>176330</v>
      </c>
      <c r="Q49" s="6">
        <f t="shared" si="3"/>
        <v>183110</v>
      </c>
      <c r="R49" s="6">
        <f t="shared" si="3"/>
        <v>183020</v>
      </c>
      <c r="S49" s="6">
        <f t="shared" si="3"/>
        <v>144988</v>
      </c>
      <c r="T49" s="6">
        <f t="shared" si="3"/>
        <v>152616</v>
      </c>
      <c r="U49" s="6">
        <f t="shared" si="3"/>
        <v>165665</v>
      </c>
      <c r="V49" s="6">
        <f t="shared" si="3"/>
        <v>0</v>
      </c>
      <c r="W49" s="6">
        <f t="shared" si="3"/>
        <v>0</v>
      </c>
      <c r="X49" s="6">
        <f t="shared" si="3"/>
        <v>0</v>
      </c>
      <c r="Y49" s="6">
        <f t="shared" si="3"/>
        <v>0</v>
      </c>
      <c r="Z49" s="6">
        <f t="shared" si="3"/>
        <v>0</v>
      </c>
      <c r="AA49" s="6">
        <f t="shared" si="3"/>
        <v>24337</v>
      </c>
      <c r="AB49" s="6">
        <f t="shared" si="3"/>
        <v>178209</v>
      </c>
      <c r="AC49" s="6">
        <f t="shared" si="3"/>
        <v>218866</v>
      </c>
      <c r="AD49" s="6">
        <f t="shared" si="3"/>
        <v>208113</v>
      </c>
      <c r="AE49" s="6">
        <f t="shared" si="3"/>
        <v>170098</v>
      </c>
      <c r="AF49" s="6">
        <f t="shared" si="3"/>
        <v>196233</v>
      </c>
      <c r="AG49" s="6">
        <f t="shared" si="3"/>
        <v>181944</v>
      </c>
      <c r="AH49" s="6">
        <f t="shared" si="3"/>
        <v>191710</v>
      </c>
      <c r="AI49" s="6">
        <f t="shared" si="3"/>
        <v>148897</v>
      </c>
      <c r="AJ49" s="6">
        <f t="shared" si="3"/>
        <v>171091</v>
      </c>
      <c r="AK49" s="6">
        <f t="shared" si="3"/>
        <v>218581</v>
      </c>
      <c r="AL49" s="6">
        <f t="shared" si="3"/>
        <v>183318</v>
      </c>
      <c r="AM49" s="6">
        <f t="shared" si="3"/>
        <v>190771</v>
      </c>
      <c r="AN49" s="6">
        <f t="shared" si="3"/>
        <v>191326</v>
      </c>
      <c r="AO49" s="6">
        <f t="shared" si="3"/>
        <v>223790</v>
      </c>
      <c r="AP49" s="6">
        <f t="shared" si="3"/>
        <v>210720</v>
      </c>
      <c r="AQ49" s="6">
        <f t="shared" si="3"/>
        <v>166320</v>
      </c>
      <c r="AR49" s="6">
        <f t="shared" si="3"/>
        <v>172627</v>
      </c>
      <c r="AS49" s="6">
        <f t="shared" si="3"/>
        <v>181314</v>
      </c>
      <c r="AT49" s="6">
        <f t="shared" si="3"/>
        <v>177797</v>
      </c>
      <c r="AU49" s="6">
        <f t="shared" si="3"/>
        <v>177723</v>
      </c>
      <c r="AV49" s="6">
        <f t="shared" si="3"/>
        <v>198242</v>
      </c>
      <c r="AW49" s="6">
        <f t="shared" si="3"/>
        <v>195191</v>
      </c>
      <c r="AX49" s="6">
        <f t="shared" si="3"/>
        <v>179543</v>
      </c>
      <c r="AY49" s="6">
        <f t="shared" si="3"/>
        <v>183131</v>
      </c>
      <c r="AZ49" s="6">
        <f t="shared" si="3"/>
        <v>182251</v>
      </c>
      <c r="BA49" s="6">
        <f t="shared" si="3"/>
        <v>219630</v>
      </c>
      <c r="BB49" s="6">
        <f t="shared" si="3"/>
        <v>212383</v>
      </c>
      <c r="BC49" s="6">
        <f t="shared" si="3"/>
        <v>166550</v>
      </c>
      <c r="BD49" s="6">
        <f t="shared" si="3"/>
        <v>197465</v>
      </c>
      <c r="BE49" s="6">
        <f t="shared" si="3"/>
        <v>183944</v>
      </c>
      <c r="BF49" s="6">
        <f t="shared" si="3"/>
        <v>188553</v>
      </c>
      <c r="BG49" s="6">
        <f t="shared" si="3"/>
        <v>187283</v>
      </c>
      <c r="BH49" s="6">
        <f t="shared" si="3"/>
        <v>202059</v>
      </c>
      <c r="BI49" s="6">
        <f t="shared" si="3"/>
        <v>195734</v>
      </c>
      <c r="BJ49" s="6">
        <f t="shared" si="3"/>
        <v>179559</v>
      </c>
      <c r="BK49" s="6">
        <f t="shared" si="3"/>
        <v>182497</v>
      </c>
      <c r="BL49" s="6">
        <f t="shared" si="3"/>
        <v>172724</v>
      </c>
      <c r="BM49" s="6">
        <f t="shared" si="3"/>
        <v>198026</v>
      </c>
    </row>
    <row r="50" spans="1:65" s="10" customFormat="1" x14ac:dyDescent="0.25">
      <c r="A50" s="1">
        <v>53</v>
      </c>
      <c r="B50" s="1">
        <f>VLOOKUP(E50,'[2]Peajes (1)'!$A:$D,4,0)</f>
        <v>3826</v>
      </c>
      <c r="C50" s="3" t="s">
        <v>79</v>
      </c>
      <c r="D50" s="3" t="s">
        <v>80</v>
      </c>
      <c r="E50" s="3" t="s">
        <v>82</v>
      </c>
      <c r="F50" s="6">
        <v>523190</v>
      </c>
      <c r="G50" s="6">
        <v>379434</v>
      </c>
      <c r="H50" s="6">
        <v>435401</v>
      </c>
      <c r="I50" s="6">
        <v>458922</v>
      </c>
      <c r="J50" s="6">
        <v>387110</v>
      </c>
      <c r="K50" s="6">
        <v>459992</v>
      </c>
      <c r="L50" s="6">
        <v>429470</v>
      </c>
      <c r="M50" s="6">
        <v>467938</v>
      </c>
      <c r="N50" s="6">
        <v>402002</v>
      </c>
      <c r="O50" s="6">
        <v>463184</v>
      </c>
      <c r="P50" s="6">
        <v>455990</v>
      </c>
      <c r="Q50" s="6">
        <v>595702</v>
      </c>
      <c r="R50" s="6">
        <v>566310</v>
      </c>
      <c r="S50" s="6">
        <v>397288</v>
      </c>
      <c r="T50" s="6">
        <v>452530</v>
      </c>
      <c r="U50" s="6">
        <v>473106</v>
      </c>
      <c r="V50" s="6">
        <v>482072</v>
      </c>
      <c r="W50" s="6">
        <v>497066</v>
      </c>
      <c r="X50" s="6">
        <v>475917</v>
      </c>
      <c r="Y50" s="6">
        <v>491955</v>
      </c>
      <c r="Z50" s="6">
        <v>425196</v>
      </c>
      <c r="AA50" s="6">
        <v>503127</v>
      </c>
      <c r="AB50" s="6">
        <v>477146</v>
      </c>
      <c r="AC50" s="6">
        <v>637033</v>
      </c>
      <c r="AD50" s="6">
        <v>598914</v>
      </c>
      <c r="AE50" s="6">
        <v>428277</v>
      </c>
      <c r="AF50" s="6">
        <v>549605</v>
      </c>
      <c r="AG50" s="6">
        <v>431198</v>
      </c>
      <c r="AH50" s="6">
        <v>500518</v>
      </c>
      <c r="AI50" s="6">
        <v>473836</v>
      </c>
      <c r="AJ50" s="6">
        <v>468375</v>
      </c>
      <c r="AK50" s="6">
        <v>508969</v>
      </c>
      <c r="AL50" s="6">
        <v>455449</v>
      </c>
      <c r="AM50" s="6">
        <v>526809</v>
      </c>
      <c r="AN50" s="6">
        <v>506297</v>
      </c>
      <c r="AO50" s="6">
        <v>657040</v>
      </c>
      <c r="AP50" s="6">
        <v>624141</v>
      </c>
      <c r="AQ50" s="6">
        <v>441903</v>
      </c>
      <c r="AR50" s="6">
        <v>493820</v>
      </c>
      <c r="AS50" s="6">
        <v>554939</v>
      </c>
      <c r="AT50" s="6">
        <v>507321</v>
      </c>
      <c r="AU50" s="6">
        <v>528544</v>
      </c>
      <c r="AV50" s="6">
        <v>558741</v>
      </c>
      <c r="AW50" s="6">
        <v>547292</v>
      </c>
      <c r="AX50" s="6">
        <v>471483</v>
      </c>
      <c r="AY50" s="6">
        <v>544658</v>
      </c>
      <c r="AZ50" s="6">
        <v>527903</v>
      </c>
      <c r="BA50" s="6">
        <v>718883</v>
      </c>
      <c r="BB50" s="6">
        <v>650287</v>
      </c>
      <c r="BC50" s="6">
        <v>455763</v>
      </c>
      <c r="BD50" s="6">
        <v>591471</v>
      </c>
      <c r="BE50" s="6">
        <v>497772</v>
      </c>
      <c r="BF50" s="6">
        <v>514603</v>
      </c>
      <c r="BG50" s="6">
        <v>566983</v>
      </c>
      <c r="BH50" s="6">
        <v>592646</v>
      </c>
      <c r="BI50" s="6">
        <v>582742</v>
      </c>
      <c r="BJ50" s="6">
        <v>520042</v>
      </c>
      <c r="BK50" s="6">
        <v>577706</v>
      </c>
      <c r="BL50" s="6">
        <v>573343</v>
      </c>
      <c r="BM50" s="6">
        <v>777778</v>
      </c>
    </row>
    <row r="51" spans="1:65" x14ac:dyDescent="0.25">
      <c r="A51" s="1">
        <v>133</v>
      </c>
      <c r="B51" s="1">
        <f>VLOOKUP(E51,'[2]Peajes (1)'!$A:$D,4,0)</f>
        <v>3859</v>
      </c>
      <c r="C51" s="3" t="s">
        <v>195</v>
      </c>
      <c r="D51" s="3" t="s">
        <v>196</v>
      </c>
      <c r="E51" s="3" t="s">
        <v>240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>
        <v>0</v>
      </c>
      <c r="AE51" s="6">
        <v>0</v>
      </c>
      <c r="AF51" s="6">
        <v>0</v>
      </c>
      <c r="AG51" s="6">
        <v>13858</v>
      </c>
      <c r="AH51" s="6">
        <v>31195</v>
      </c>
      <c r="AI51" s="6">
        <v>29592</v>
      </c>
      <c r="AJ51" s="6">
        <v>26848</v>
      </c>
      <c r="AK51" s="6">
        <v>29389</v>
      </c>
      <c r="AL51" s="6">
        <v>28730</v>
      </c>
      <c r="AM51" s="6">
        <v>30060</v>
      </c>
      <c r="AN51" s="6">
        <v>29259</v>
      </c>
      <c r="AO51" s="6">
        <v>33194</v>
      </c>
      <c r="AP51" s="6">
        <v>37845</v>
      </c>
      <c r="AQ51" s="6">
        <v>28537</v>
      </c>
      <c r="AR51" s="6">
        <v>32949</v>
      </c>
      <c r="AS51" s="6">
        <v>30790</v>
      </c>
      <c r="AT51" s="6">
        <v>31797</v>
      </c>
      <c r="AU51" s="6">
        <v>29726</v>
      </c>
      <c r="AV51" s="6">
        <v>31172</v>
      </c>
      <c r="AW51" s="6">
        <v>32383</v>
      </c>
      <c r="AX51" s="6">
        <v>31454</v>
      </c>
      <c r="AY51" s="6">
        <v>31755</v>
      </c>
      <c r="AZ51" s="6">
        <v>33566</v>
      </c>
      <c r="BA51" s="6">
        <v>35993</v>
      </c>
      <c r="BB51" s="6">
        <v>38143</v>
      </c>
      <c r="BC51" s="6">
        <v>28846</v>
      </c>
      <c r="BD51" s="6">
        <v>33241</v>
      </c>
      <c r="BE51" s="6">
        <v>32290</v>
      </c>
      <c r="BF51" s="6">
        <v>35395</v>
      </c>
      <c r="BG51" s="6">
        <v>32374</v>
      </c>
      <c r="BH51" s="6">
        <v>33799</v>
      </c>
      <c r="BI51" s="6">
        <v>34938</v>
      </c>
      <c r="BJ51" s="6">
        <v>33305</v>
      </c>
      <c r="BK51" s="6">
        <v>35828</v>
      </c>
      <c r="BL51" s="6">
        <v>37878</v>
      </c>
      <c r="BM51" s="6">
        <v>40667</v>
      </c>
    </row>
    <row r="52" spans="1:65" s="10" customFormat="1" x14ac:dyDescent="0.25">
      <c r="A52" s="1">
        <v>41</v>
      </c>
      <c r="B52" s="1">
        <f>VLOOKUP(E52,'[2]Peajes (1)'!$A:$D,4,0)</f>
        <v>4804</v>
      </c>
      <c r="C52" s="3" t="s">
        <v>59</v>
      </c>
      <c r="D52" s="3" t="s">
        <v>60</v>
      </c>
      <c r="E52" s="3" t="s">
        <v>64</v>
      </c>
      <c r="F52" s="6">
        <v>386707</v>
      </c>
      <c r="G52" s="6">
        <v>349398</v>
      </c>
      <c r="H52" s="6">
        <v>372435</v>
      </c>
      <c r="I52" s="6">
        <v>379044</v>
      </c>
      <c r="J52" s="6">
        <v>393446</v>
      </c>
      <c r="K52" s="6">
        <v>376560</v>
      </c>
      <c r="L52" s="6">
        <v>406332</v>
      </c>
      <c r="M52" s="6">
        <v>410484</v>
      </c>
      <c r="N52" s="6">
        <v>386834</v>
      </c>
      <c r="O52" s="6">
        <v>406595</v>
      </c>
      <c r="P52" s="6">
        <v>401149</v>
      </c>
      <c r="Q52" s="6">
        <v>462045</v>
      </c>
      <c r="R52" s="6">
        <v>413662</v>
      </c>
      <c r="S52" s="6">
        <v>372064</v>
      </c>
      <c r="T52" s="6">
        <v>407867</v>
      </c>
      <c r="U52" s="6">
        <v>394552</v>
      </c>
      <c r="V52" s="6">
        <v>401575</v>
      </c>
      <c r="W52" s="6">
        <v>393890</v>
      </c>
      <c r="X52" s="6">
        <v>412808</v>
      </c>
      <c r="Y52" s="6">
        <v>411793</v>
      </c>
      <c r="Z52" s="6">
        <v>387535</v>
      </c>
      <c r="AA52" s="6">
        <v>415379</v>
      </c>
      <c r="AB52" s="6">
        <v>413593</v>
      </c>
      <c r="AC52" s="6">
        <v>484494</v>
      </c>
      <c r="AD52" s="6">
        <v>425420</v>
      </c>
      <c r="AE52" s="6">
        <v>395937</v>
      </c>
      <c r="AF52" s="6">
        <v>425982</v>
      </c>
      <c r="AG52" s="6">
        <v>412043</v>
      </c>
      <c r="AH52" s="6">
        <v>439171</v>
      </c>
      <c r="AI52" s="6">
        <v>444898</v>
      </c>
      <c r="AJ52" s="6">
        <v>482301</v>
      </c>
      <c r="AK52" s="6">
        <v>468952</v>
      </c>
      <c r="AL52" s="6">
        <v>444007</v>
      </c>
      <c r="AM52" s="6">
        <v>462926</v>
      </c>
      <c r="AN52" s="6">
        <v>462372</v>
      </c>
      <c r="AO52" s="6">
        <v>524790</v>
      </c>
      <c r="AP52" s="6">
        <v>470866</v>
      </c>
      <c r="AQ52" s="6">
        <v>417701</v>
      </c>
      <c r="AR52" s="6">
        <v>467101</v>
      </c>
      <c r="AS52" s="6">
        <v>448463</v>
      </c>
      <c r="AT52" s="6">
        <v>467576</v>
      </c>
      <c r="AU52" s="6">
        <v>466668</v>
      </c>
      <c r="AV52" s="6">
        <v>489507</v>
      </c>
      <c r="AW52" s="6">
        <v>484950</v>
      </c>
      <c r="AX52" s="6">
        <v>435163</v>
      </c>
      <c r="AY52" s="6">
        <v>439326</v>
      </c>
      <c r="AZ52" s="6">
        <v>448118</v>
      </c>
      <c r="BA52" s="6">
        <v>523104</v>
      </c>
      <c r="BB52" s="6">
        <v>469229</v>
      </c>
      <c r="BC52" s="6">
        <v>423858</v>
      </c>
      <c r="BD52" s="6">
        <v>472464</v>
      </c>
      <c r="BE52" s="6">
        <v>452376</v>
      </c>
      <c r="BF52" s="6">
        <v>467533</v>
      </c>
      <c r="BG52" s="6">
        <v>460400</v>
      </c>
      <c r="BH52" s="6">
        <v>488886</v>
      </c>
      <c r="BI52" s="6">
        <v>487530</v>
      </c>
      <c r="BJ52" s="6">
        <v>462452</v>
      </c>
      <c r="BK52" s="6">
        <v>489194</v>
      </c>
      <c r="BL52" s="6">
        <v>0</v>
      </c>
      <c r="BM52" s="6">
        <v>0</v>
      </c>
    </row>
    <row r="53" spans="1:65" x14ac:dyDescent="0.25">
      <c r="A53" s="8">
        <v>135</v>
      </c>
      <c r="B53" s="1">
        <f>VLOOKUP(E53,'[2]Peajes (1)'!$A:$D,4,0)</f>
        <v>3844</v>
      </c>
      <c r="C53" s="8" t="s">
        <v>199</v>
      </c>
      <c r="D53" s="8" t="s">
        <v>200</v>
      </c>
      <c r="E53" s="8" t="s">
        <v>51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64054</v>
      </c>
      <c r="AJ53" s="6">
        <v>208313</v>
      </c>
      <c r="AK53" s="6">
        <v>175043</v>
      </c>
      <c r="AL53" s="6">
        <v>156165</v>
      </c>
      <c r="AM53" s="6">
        <v>183619</v>
      </c>
      <c r="AN53" s="6">
        <v>171610</v>
      </c>
      <c r="AO53" s="6">
        <v>218517</v>
      </c>
      <c r="AP53" s="6">
        <v>226527</v>
      </c>
      <c r="AQ53" s="6">
        <v>142728</v>
      </c>
      <c r="AR53" s="6">
        <v>163714</v>
      </c>
      <c r="AS53" s="6">
        <v>189181</v>
      </c>
      <c r="AT53" s="6">
        <v>165736</v>
      </c>
      <c r="AU53" s="6">
        <v>198746</v>
      </c>
      <c r="AV53" s="6">
        <v>211323</v>
      </c>
      <c r="AW53" s="6">
        <v>181534</v>
      </c>
      <c r="AX53" s="6">
        <v>158080</v>
      </c>
      <c r="AY53" s="6">
        <v>181328</v>
      </c>
      <c r="AZ53" s="6">
        <v>172214</v>
      </c>
      <c r="BA53" s="6">
        <v>229232</v>
      </c>
      <c r="BB53" s="6">
        <v>225875</v>
      </c>
      <c r="BC53" s="6">
        <v>141382</v>
      </c>
      <c r="BD53" s="6">
        <v>188927</v>
      </c>
      <c r="BE53" s="6">
        <v>158724</v>
      </c>
      <c r="BF53" s="6">
        <v>159660</v>
      </c>
      <c r="BG53" s="6">
        <v>195445</v>
      </c>
      <c r="BH53" s="6">
        <v>207789</v>
      </c>
      <c r="BI53" s="6">
        <v>182641</v>
      </c>
      <c r="BJ53" s="6">
        <v>159812</v>
      </c>
      <c r="BK53" s="6">
        <v>188083</v>
      </c>
      <c r="BL53" s="6">
        <v>177255</v>
      </c>
      <c r="BM53" s="6">
        <v>231138</v>
      </c>
    </row>
    <row r="54" spans="1:65" hidden="1" x14ac:dyDescent="0.25">
      <c r="A54" s="8">
        <v>113</v>
      </c>
      <c r="B54" s="1">
        <f>VLOOKUP(E54,'[2]Peajes (1)'!$A:$D,4,0)</f>
        <v>3871</v>
      </c>
      <c r="C54" s="8" t="s">
        <v>175</v>
      </c>
      <c r="D54" s="8" t="s">
        <v>176</v>
      </c>
      <c r="E54" s="8" t="s">
        <v>29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105892</v>
      </c>
      <c r="BB54" s="6">
        <v>83214</v>
      </c>
      <c r="BC54" s="6">
        <v>95321</v>
      </c>
      <c r="BD54" s="6">
        <v>104468</v>
      </c>
      <c r="BE54" s="6">
        <v>92256</v>
      </c>
      <c r="BF54" s="6">
        <v>101181</v>
      </c>
      <c r="BG54" s="6">
        <v>98963</v>
      </c>
      <c r="BH54" s="6">
        <v>92087</v>
      </c>
      <c r="BI54" s="6">
        <v>122218</v>
      </c>
      <c r="BJ54" s="6">
        <v>123667</v>
      </c>
      <c r="BK54" s="6">
        <v>114977</v>
      </c>
      <c r="BL54" s="6">
        <v>116932</v>
      </c>
      <c r="BM54" s="6">
        <v>125032</v>
      </c>
    </row>
    <row r="55" spans="1:65" s="10" customFormat="1" hidden="1" x14ac:dyDescent="0.25">
      <c r="A55" s="8">
        <v>18</v>
      </c>
      <c r="B55" s="1">
        <f>VLOOKUP(E55,'[2]Peajes (1)'!$A:$D,4,0)</f>
        <v>3871</v>
      </c>
      <c r="C55" s="8" t="s">
        <v>26</v>
      </c>
      <c r="D55" s="8" t="s">
        <v>27</v>
      </c>
      <c r="E55" s="8" t="s">
        <v>29</v>
      </c>
      <c r="F55" s="6">
        <v>63336</v>
      </c>
      <c r="G55" s="6">
        <v>75380</v>
      </c>
      <c r="H55" s="6">
        <v>90937</v>
      </c>
      <c r="I55" s="6">
        <v>82944</v>
      </c>
      <c r="J55" s="6">
        <v>89011</v>
      </c>
      <c r="K55" s="6">
        <v>71794</v>
      </c>
      <c r="L55" s="6">
        <v>71306</v>
      </c>
      <c r="M55" s="6">
        <v>88000</v>
      </c>
      <c r="N55" s="6">
        <v>80288</v>
      </c>
      <c r="O55" s="6">
        <v>77157</v>
      </c>
      <c r="P55" s="6">
        <v>79945</v>
      </c>
      <c r="Q55" s="6">
        <v>78111</v>
      </c>
      <c r="R55" s="6">
        <v>65331</v>
      </c>
      <c r="S55" s="6">
        <v>80719</v>
      </c>
      <c r="T55" s="6">
        <v>91742</v>
      </c>
      <c r="U55" s="6">
        <v>80962</v>
      </c>
      <c r="V55" s="6">
        <v>96886</v>
      </c>
      <c r="W55" s="6">
        <v>87925</v>
      </c>
      <c r="X55" s="6">
        <v>83680</v>
      </c>
      <c r="Y55" s="6">
        <v>98808</v>
      </c>
      <c r="Z55" s="6">
        <v>96137</v>
      </c>
      <c r="AA55" s="6">
        <v>107891</v>
      </c>
      <c r="AB55" s="6">
        <v>104613</v>
      </c>
      <c r="AC55" s="6">
        <v>105157</v>
      </c>
      <c r="AD55" s="6">
        <v>85477</v>
      </c>
      <c r="AE55" s="6">
        <v>96283</v>
      </c>
      <c r="AF55" s="6">
        <v>99700</v>
      </c>
      <c r="AG55" s="6">
        <v>104633</v>
      </c>
      <c r="AH55" s="6">
        <v>108070</v>
      </c>
      <c r="AI55" s="6">
        <v>96278</v>
      </c>
      <c r="AJ55" s="6">
        <v>89580</v>
      </c>
      <c r="AK55" s="6">
        <v>104129</v>
      </c>
      <c r="AL55" s="6">
        <v>108411</v>
      </c>
      <c r="AM55" s="6">
        <v>104041</v>
      </c>
      <c r="AN55" s="6">
        <v>105452</v>
      </c>
      <c r="AO55" s="6">
        <v>107204</v>
      </c>
      <c r="AP55" s="6">
        <v>85939</v>
      </c>
      <c r="AQ55" s="6">
        <v>102513</v>
      </c>
      <c r="AR55" s="6">
        <v>116318</v>
      </c>
      <c r="AS55" s="6">
        <v>99349</v>
      </c>
      <c r="AT55" s="6">
        <v>104045</v>
      </c>
      <c r="AU55" s="6">
        <v>93299</v>
      </c>
      <c r="AV55" s="6">
        <v>88987</v>
      </c>
      <c r="AW55" s="6">
        <v>104894</v>
      </c>
      <c r="AX55" s="6">
        <v>97899</v>
      </c>
      <c r="AY55" s="6">
        <v>97687</v>
      </c>
      <c r="AZ55" s="6">
        <v>99923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</row>
    <row r="56" spans="1:65" s="10" customFormat="1" x14ac:dyDescent="0.25">
      <c r="A56" s="8">
        <v>18</v>
      </c>
      <c r="B56" s="1">
        <f>VLOOKUP(E56,'[2]Peajes (1)'!$A:$D,4,0)</f>
        <v>3871</v>
      </c>
      <c r="C56" s="8" t="s">
        <v>26</v>
      </c>
      <c r="D56" s="8" t="s">
        <v>27</v>
      </c>
      <c r="E56" s="8" t="s">
        <v>29</v>
      </c>
      <c r="F56" s="6">
        <f>SUM(F54:F55)</f>
        <v>63336</v>
      </c>
      <c r="G56" s="6">
        <f t="shared" ref="G56:BM56" si="4">SUM(G54:G55)</f>
        <v>75380</v>
      </c>
      <c r="H56" s="6">
        <f t="shared" si="4"/>
        <v>90937</v>
      </c>
      <c r="I56" s="6">
        <f t="shared" si="4"/>
        <v>82944</v>
      </c>
      <c r="J56" s="6">
        <f t="shared" si="4"/>
        <v>89011</v>
      </c>
      <c r="K56" s="6">
        <f t="shared" si="4"/>
        <v>71794</v>
      </c>
      <c r="L56" s="6">
        <f t="shared" si="4"/>
        <v>71306</v>
      </c>
      <c r="M56" s="6">
        <f t="shared" si="4"/>
        <v>88000</v>
      </c>
      <c r="N56" s="6">
        <f t="shared" si="4"/>
        <v>80288</v>
      </c>
      <c r="O56" s="6">
        <f t="shared" si="4"/>
        <v>77157</v>
      </c>
      <c r="P56" s="6">
        <f t="shared" si="4"/>
        <v>79945</v>
      </c>
      <c r="Q56" s="6">
        <f t="shared" si="4"/>
        <v>78111</v>
      </c>
      <c r="R56" s="6">
        <f t="shared" si="4"/>
        <v>65331</v>
      </c>
      <c r="S56" s="6">
        <f t="shared" si="4"/>
        <v>80719</v>
      </c>
      <c r="T56" s="6">
        <f t="shared" si="4"/>
        <v>91742</v>
      </c>
      <c r="U56" s="6">
        <f t="shared" si="4"/>
        <v>80962</v>
      </c>
      <c r="V56" s="6">
        <f t="shared" si="4"/>
        <v>96886</v>
      </c>
      <c r="W56" s="6">
        <f t="shared" si="4"/>
        <v>87925</v>
      </c>
      <c r="X56" s="6">
        <f t="shared" si="4"/>
        <v>83680</v>
      </c>
      <c r="Y56" s="6">
        <f t="shared" si="4"/>
        <v>98808</v>
      </c>
      <c r="Z56" s="6">
        <f t="shared" si="4"/>
        <v>96137</v>
      </c>
      <c r="AA56" s="6">
        <f t="shared" si="4"/>
        <v>107891</v>
      </c>
      <c r="AB56" s="6">
        <f t="shared" si="4"/>
        <v>104613</v>
      </c>
      <c r="AC56" s="6">
        <f t="shared" si="4"/>
        <v>105157</v>
      </c>
      <c r="AD56" s="6">
        <f t="shared" si="4"/>
        <v>85477</v>
      </c>
      <c r="AE56" s="6">
        <f t="shared" si="4"/>
        <v>96283</v>
      </c>
      <c r="AF56" s="6">
        <f t="shared" si="4"/>
        <v>99700</v>
      </c>
      <c r="AG56" s="6">
        <f t="shared" si="4"/>
        <v>104633</v>
      </c>
      <c r="AH56" s="6">
        <f t="shared" si="4"/>
        <v>108070</v>
      </c>
      <c r="AI56" s="6">
        <f t="shared" si="4"/>
        <v>96278</v>
      </c>
      <c r="AJ56" s="6">
        <f t="shared" si="4"/>
        <v>89580</v>
      </c>
      <c r="AK56" s="6">
        <f t="shared" si="4"/>
        <v>104129</v>
      </c>
      <c r="AL56" s="6">
        <f t="shared" si="4"/>
        <v>108411</v>
      </c>
      <c r="AM56" s="6">
        <f t="shared" si="4"/>
        <v>104041</v>
      </c>
      <c r="AN56" s="6">
        <f t="shared" si="4"/>
        <v>105452</v>
      </c>
      <c r="AO56" s="6">
        <f t="shared" si="4"/>
        <v>107204</v>
      </c>
      <c r="AP56" s="6">
        <f t="shared" si="4"/>
        <v>85939</v>
      </c>
      <c r="AQ56" s="6">
        <f t="shared" si="4"/>
        <v>102513</v>
      </c>
      <c r="AR56" s="6">
        <f t="shared" si="4"/>
        <v>116318</v>
      </c>
      <c r="AS56" s="6">
        <f t="shared" si="4"/>
        <v>99349</v>
      </c>
      <c r="AT56" s="6">
        <f t="shared" si="4"/>
        <v>104045</v>
      </c>
      <c r="AU56" s="6">
        <f t="shared" si="4"/>
        <v>93299</v>
      </c>
      <c r="AV56" s="6">
        <f t="shared" si="4"/>
        <v>88987</v>
      </c>
      <c r="AW56" s="6">
        <f t="shared" si="4"/>
        <v>104894</v>
      </c>
      <c r="AX56" s="6">
        <f t="shared" si="4"/>
        <v>97899</v>
      </c>
      <c r="AY56" s="6">
        <f t="shared" si="4"/>
        <v>97687</v>
      </c>
      <c r="AZ56" s="6">
        <f t="shared" si="4"/>
        <v>99923</v>
      </c>
      <c r="BA56" s="6">
        <f t="shared" si="4"/>
        <v>105892</v>
      </c>
      <c r="BB56" s="6">
        <f t="shared" si="4"/>
        <v>83214</v>
      </c>
      <c r="BC56" s="6">
        <f t="shared" si="4"/>
        <v>95321</v>
      </c>
      <c r="BD56" s="6">
        <f t="shared" si="4"/>
        <v>104468</v>
      </c>
      <c r="BE56" s="6">
        <f t="shared" si="4"/>
        <v>92256</v>
      </c>
      <c r="BF56" s="6">
        <f t="shared" si="4"/>
        <v>101181</v>
      </c>
      <c r="BG56" s="6">
        <f t="shared" si="4"/>
        <v>98963</v>
      </c>
      <c r="BH56" s="6">
        <f t="shared" si="4"/>
        <v>92087</v>
      </c>
      <c r="BI56" s="6">
        <f t="shared" si="4"/>
        <v>122218</v>
      </c>
      <c r="BJ56" s="6">
        <f t="shared" si="4"/>
        <v>123667</v>
      </c>
      <c r="BK56" s="6">
        <f t="shared" si="4"/>
        <v>114977</v>
      </c>
      <c r="BL56" s="6">
        <f t="shared" si="4"/>
        <v>116932</v>
      </c>
      <c r="BM56" s="6">
        <f t="shared" si="4"/>
        <v>125032</v>
      </c>
    </row>
    <row r="57" spans="1:65" s="10" customFormat="1" hidden="1" x14ac:dyDescent="0.25">
      <c r="A57" s="8">
        <v>105</v>
      </c>
      <c r="B57" s="1">
        <f>VLOOKUP(E57,'[2]Peajes (1)'!$A:$D,4,0)</f>
        <v>3805</v>
      </c>
      <c r="C57" s="8" t="s">
        <v>163</v>
      </c>
      <c r="D57" s="8" t="s">
        <v>164</v>
      </c>
      <c r="E57" s="8" t="s">
        <v>103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7029</v>
      </c>
    </row>
    <row r="58" spans="1:65" s="10" customFormat="1" hidden="1" x14ac:dyDescent="0.25">
      <c r="A58" s="8">
        <v>71</v>
      </c>
      <c r="B58" s="1">
        <f>VLOOKUP(E58,'[2]Peajes (1)'!$A:$D,4,0)</f>
        <v>3805</v>
      </c>
      <c r="C58" s="8" t="s">
        <v>100</v>
      </c>
      <c r="D58" s="8" t="s">
        <v>101</v>
      </c>
      <c r="E58" s="8" t="s">
        <v>103</v>
      </c>
      <c r="F58" s="6">
        <v>206165</v>
      </c>
      <c r="G58" s="6">
        <v>192906</v>
      </c>
      <c r="H58" s="6">
        <v>211873</v>
      </c>
      <c r="I58" s="6">
        <v>204527</v>
      </c>
      <c r="J58" s="6">
        <v>209918</v>
      </c>
      <c r="K58" s="6">
        <v>196433</v>
      </c>
      <c r="L58" s="6">
        <v>207648</v>
      </c>
      <c r="M58" s="6">
        <v>201033</v>
      </c>
      <c r="N58" s="6">
        <v>196777</v>
      </c>
      <c r="O58" s="6">
        <v>206285</v>
      </c>
      <c r="P58" s="6">
        <v>203806</v>
      </c>
      <c r="Q58" s="6">
        <v>221285</v>
      </c>
      <c r="R58" s="6">
        <v>207458</v>
      </c>
      <c r="S58" s="6">
        <v>193804</v>
      </c>
      <c r="T58" s="6">
        <v>221481</v>
      </c>
      <c r="U58" s="6">
        <v>211642</v>
      </c>
      <c r="V58" s="6">
        <v>213355</v>
      </c>
      <c r="W58" s="6">
        <v>212834</v>
      </c>
      <c r="X58" s="6">
        <v>227442</v>
      </c>
      <c r="Y58" s="6">
        <v>227244</v>
      </c>
      <c r="Z58" s="6">
        <v>221106</v>
      </c>
      <c r="AA58" s="6">
        <v>235788</v>
      </c>
      <c r="AB58" s="6">
        <v>227280</v>
      </c>
      <c r="AC58" s="6">
        <v>251130</v>
      </c>
      <c r="AD58" s="6">
        <v>229113</v>
      </c>
      <c r="AE58" s="6">
        <v>210508</v>
      </c>
      <c r="AF58" s="6">
        <v>229872</v>
      </c>
      <c r="AG58" s="6">
        <v>215015</v>
      </c>
      <c r="AH58" s="6">
        <v>219500</v>
      </c>
      <c r="AI58" s="6">
        <v>213009</v>
      </c>
      <c r="AJ58" s="6">
        <v>223793</v>
      </c>
      <c r="AK58" s="6">
        <v>221567</v>
      </c>
      <c r="AL58" s="6">
        <v>213679</v>
      </c>
      <c r="AM58" s="6">
        <v>222279</v>
      </c>
      <c r="AN58" s="6">
        <v>218493</v>
      </c>
      <c r="AO58" s="6">
        <v>243956</v>
      </c>
      <c r="AP58" s="6">
        <v>221997</v>
      </c>
      <c r="AQ58" s="6">
        <v>204972</v>
      </c>
      <c r="AR58" s="6">
        <v>232221</v>
      </c>
      <c r="AS58" s="6">
        <v>216319</v>
      </c>
      <c r="AT58" s="6">
        <v>220165</v>
      </c>
      <c r="AU58" s="6">
        <v>217578</v>
      </c>
      <c r="AV58" s="6">
        <v>231602</v>
      </c>
      <c r="AW58" s="6">
        <v>233998</v>
      </c>
      <c r="AX58" s="6">
        <v>221226</v>
      </c>
      <c r="AY58" s="6">
        <v>226152</v>
      </c>
      <c r="AZ58" s="6">
        <v>226875</v>
      </c>
      <c r="BA58" s="6">
        <v>244524</v>
      </c>
      <c r="BB58" s="6">
        <v>228982</v>
      </c>
      <c r="BC58" s="6">
        <v>203910</v>
      </c>
      <c r="BD58" s="6">
        <v>238032</v>
      </c>
      <c r="BE58" s="6">
        <v>224850</v>
      </c>
      <c r="BF58" s="6">
        <v>224452</v>
      </c>
      <c r="BG58" s="6">
        <v>218380</v>
      </c>
      <c r="BH58" s="6">
        <v>228815</v>
      </c>
      <c r="BI58" s="6">
        <v>233013</v>
      </c>
      <c r="BJ58" s="6">
        <v>222630</v>
      </c>
      <c r="BK58" s="6">
        <v>228351</v>
      </c>
      <c r="BL58" s="6">
        <v>223998</v>
      </c>
      <c r="BM58" s="6">
        <v>242437</v>
      </c>
    </row>
    <row r="59" spans="1:65" s="10" customFormat="1" x14ac:dyDescent="0.25">
      <c r="A59" s="8">
        <v>105</v>
      </c>
      <c r="B59" s="1">
        <f>VLOOKUP(E59,'[2]Peajes (1)'!$A:$D,4,0)</f>
        <v>3805</v>
      </c>
      <c r="C59" s="8" t="s">
        <v>163</v>
      </c>
      <c r="D59" s="8" t="s">
        <v>164</v>
      </c>
      <c r="E59" s="8" t="s">
        <v>103</v>
      </c>
      <c r="F59" s="6">
        <f>SUM(F57:F58)</f>
        <v>206165</v>
      </c>
      <c r="G59" s="6">
        <f t="shared" ref="G59:BM59" si="5">SUM(G57:G58)</f>
        <v>192906</v>
      </c>
      <c r="H59" s="6">
        <f t="shared" si="5"/>
        <v>211873</v>
      </c>
      <c r="I59" s="6">
        <f t="shared" si="5"/>
        <v>204527</v>
      </c>
      <c r="J59" s="6">
        <f t="shared" si="5"/>
        <v>209918</v>
      </c>
      <c r="K59" s="6">
        <f t="shared" si="5"/>
        <v>196433</v>
      </c>
      <c r="L59" s="6">
        <f t="shared" si="5"/>
        <v>207648</v>
      </c>
      <c r="M59" s="6">
        <f t="shared" si="5"/>
        <v>201033</v>
      </c>
      <c r="N59" s="6">
        <f t="shared" si="5"/>
        <v>196777</v>
      </c>
      <c r="O59" s="6">
        <f t="shared" si="5"/>
        <v>206285</v>
      </c>
      <c r="P59" s="6">
        <f t="shared" si="5"/>
        <v>203806</v>
      </c>
      <c r="Q59" s="6">
        <f t="shared" si="5"/>
        <v>221285</v>
      </c>
      <c r="R59" s="6">
        <f t="shared" si="5"/>
        <v>207458</v>
      </c>
      <c r="S59" s="6">
        <f t="shared" si="5"/>
        <v>193804</v>
      </c>
      <c r="T59" s="6">
        <f t="shared" si="5"/>
        <v>221481</v>
      </c>
      <c r="U59" s="6">
        <f t="shared" si="5"/>
        <v>211642</v>
      </c>
      <c r="V59" s="6">
        <f t="shared" si="5"/>
        <v>213355</v>
      </c>
      <c r="W59" s="6">
        <f t="shared" si="5"/>
        <v>212834</v>
      </c>
      <c r="X59" s="6">
        <f t="shared" si="5"/>
        <v>227442</v>
      </c>
      <c r="Y59" s="6">
        <f t="shared" si="5"/>
        <v>227244</v>
      </c>
      <c r="Z59" s="6">
        <f t="shared" si="5"/>
        <v>221106</v>
      </c>
      <c r="AA59" s="6">
        <f t="shared" si="5"/>
        <v>235788</v>
      </c>
      <c r="AB59" s="6">
        <f t="shared" si="5"/>
        <v>227280</v>
      </c>
      <c r="AC59" s="6">
        <f t="shared" si="5"/>
        <v>251130</v>
      </c>
      <c r="AD59" s="6">
        <f t="shared" si="5"/>
        <v>229113</v>
      </c>
      <c r="AE59" s="6">
        <f t="shared" si="5"/>
        <v>210508</v>
      </c>
      <c r="AF59" s="6">
        <f t="shared" si="5"/>
        <v>229872</v>
      </c>
      <c r="AG59" s="6">
        <f t="shared" si="5"/>
        <v>215015</v>
      </c>
      <c r="AH59" s="6">
        <f t="shared" si="5"/>
        <v>219500</v>
      </c>
      <c r="AI59" s="6">
        <f t="shared" si="5"/>
        <v>213009</v>
      </c>
      <c r="AJ59" s="6">
        <f t="shared" si="5"/>
        <v>223793</v>
      </c>
      <c r="AK59" s="6">
        <f t="shared" si="5"/>
        <v>221567</v>
      </c>
      <c r="AL59" s="6">
        <f t="shared" si="5"/>
        <v>213679</v>
      </c>
      <c r="AM59" s="6">
        <f t="shared" si="5"/>
        <v>222279</v>
      </c>
      <c r="AN59" s="6">
        <f t="shared" si="5"/>
        <v>218493</v>
      </c>
      <c r="AO59" s="6">
        <f t="shared" si="5"/>
        <v>243956</v>
      </c>
      <c r="AP59" s="6">
        <f t="shared" si="5"/>
        <v>221997</v>
      </c>
      <c r="AQ59" s="6">
        <f t="shared" si="5"/>
        <v>204972</v>
      </c>
      <c r="AR59" s="6">
        <f t="shared" si="5"/>
        <v>232221</v>
      </c>
      <c r="AS59" s="6">
        <f t="shared" si="5"/>
        <v>216319</v>
      </c>
      <c r="AT59" s="6">
        <f t="shared" si="5"/>
        <v>220165</v>
      </c>
      <c r="AU59" s="6">
        <f t="shared" si="5"/>
        <v>217578</v>
      </c>
      <c r="AV59" s="6">
        <f t="shared" si="5"/>
        <v>231602</v>
      </c>
      <c r="AW59" s="6">
        <f t="shared" si="5"/>
        <v>233998</v>
      </c>
      <c r="AX59" s="6">
        <f t="shared" si="5"/>
        <v>221226</v>
      </c>
      <c r="AY59" s="6">
        <f t="shared" si="5"/>
        <v>226152</v>
      </c>
      <c r="AZ59" s="6">
        <f t="shared" si="5"/>
        <v>226875</v>
      </c>
      <c r="BA59" s="6">
        <f t="shared" si="5"/>
        <v>244524</v>
      </c>
      <c r="BB59" s="6">
        <f t="shared" si="5"/>
        <v>228982</v>
      </c>
      <c r="BC59" s="6">
        <f t="shared" si="5"/>
        <v>203910</v>
      </c>
      <c r="BD59" s="6">
        <f t="shared" si="5"/>
        <v>238032</v>
      </c>
      <c r="BE59" s="6">
        <f t="shared" si="5"/>
        <v>224850</v>
      </c>
      <c r="BF59" s="6">
        <f t="shared" si="5"/>
        <v>224452</v>
      </c>
      <c r="BG59" s="6">
        <f t="shared" si="5"/>
        <v>218380</v>
      </c>
      <c r="BH59" s="6">
        <f t="shared" si="5"/>
        <v>228815</v>
      </c>
      <c r="BI59" s="6">
        <f t="shared" si="5"/>
        <v>233013</v>
      </c>
      <c r="BJ59" s="6">
        <f t="shared" si="5"/>
        <v>222630</v>
      </c>
      <c r="BK59" s="6">
        <f t="shared" si="5"/>
        <v>228351</v>
      </c>
      <c r="BL59" s="6">
        <f t="shared" si="5"/>
        <v>223998</v>
      </c>
      <c r="BM59" s="6">
        <f t="shared" si="5"/>
        <v>249466</v>
      </c>
    </row>
    <row r="60" spans="1:65" s="10" customFormat="1" x14ac:dyDescent="0.25">
      <c r="A60" s="1">
        <v>79</v>
      </c>
      <c r="B60" s="1">
        <f>VLOOKUP(E60,'[2]Peajes (1)'!$A:$D,4,0)</f>
        <v>3890</v>
      </c>
      <c r="C60" s="3" t="s">
        <v>112</v>
      </c>
      <c r="D60" s="3" t="s">
        <v>113</v>
      </c>
      <c r="E60" s="3" t="s">
        <v>115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>
        <v>0</v>
      </c>
      <c r="AE60" s="6">
        <v>0</v>
      </c>
      <c r="AF60" s="6">
        <v>0</v>
      </c>
      <c r="AG60" s="6">
        <v>15697200</v>
      </c>
      <c r="AH60" s="6">
        <v>27052700</v>
      </c>
      <c r="AI60" s="6">
        <v>18442400</v>
      </c>
      <c r="AJ60" s="6">
        <v>16223200</v>
      </c>
      <c r="AK60" s="6">
        <v>57026900</v>
      </c>
      <c r="AL60" s="6">
        <v>104667700</v>
      </c>
      <c r="AM60" s="6">
        <v>40580900</v>
      </c>
      <c r="AN60" s="6">
        <v>61982200</v>
      </c>
      <c r="AO60" s="6">
        <v>34759400</v>
      </c>
      <c r="AP60" s="6">
        <v>43468</v>
      </c>
      <c r="AQ60" s="6">
        <v>39611</v>
      </c>
      <c r="AR60" s="6">
        <v>39948</v>
      </c>
      <c r="AS60" s="6">
        <v>39426</v>
      </c>
      <c r="AT60" s="6">
        <v>38891</v>
      </c>
      <c r="AU60" s="6">
        <v>36047</v>
      </c>
      <c r="AV60" s="6">
        <v>39373</v>
      </c>
      <c r="AW60" s="6">
        <v>38709</v>
      </c>
      <c r="AX60" s="6">
        <v>37349</v>
      </c>
      <c r="AY60" s="6">
        <v>25556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</row>
    <row r="61" spans="1:65" s="10" customFormat="1" x14ac:dyDescent="0.25">
      <c r="A61" s="1">
        <v>72</v>
      </c>
      <c r="B61" s="1">
        <f>VLOOKUP(E61,'[2]Peajes (1)'!$A:$D,4,0)</f>
        <v>3917</v>
      </c>
      <c r="C61" s="3" t="s">
        <v>100</v>
      </c>
      <c r="D61" s="3" t="s">
        <v>101</v>
      </c>
      <c r="E61" s="3" t="s">
        <v>104</v>
      </c>
      <c r="F61" s="6">
        <v>174450</v>
      </c>
      <c r="G61" s="6">
        <v>130520</v>
      </c>
      <c r="H61" s="6">
        <v>144621</v>
      </c>
      <c r="I61" s="6">
        <v>161510</v>
      </c>
      <c r="J61" s="6">
        <v>142533</v>
      </c>
      <c r="K61" s="6">
        <v>144046</v>
      </c>
      <c r="L61" s="6">
        <v>152646</v>
      </c>
      <c r="M61" s="6">
        <v>152486</v>
      </c>
      <c r="N61" s="6">
        <v>142413</v>
      </c>
      <c r="O61" s="6">
        <v>154279</v>
      </c>
      <c r="P61" s="6">
        <v>145553</v>
      </c>
      <c r="Q61" s="6">
        <v>180283</v>
      </c>
      <c r="R61" s="6">
        <v>187069</v>
      </c>
      <c r="S61" s="6">
        <v>139946</v>
      </c>
      <c r="T61" s="6">
        <v>152315</v>
      </c>
      <c r="U61" s="6">
        <v>165795</v>
      </c>
      <c r="V61" s="6">
        <v>156903</v>
      </c>
      <c r="W61" s="6">
        <v>161780</v>
      </c>
      <c r="X61" s="6">
        <v>169093</v>
      </c>
      <c r="Y61" s="6">
        <v>164740</v>
      </c>
      <c r="Z61" s="6">
        <v>155446</v>
      </c>
      <c r="AA61" s="6">
        <v>174993</v>
      </c>
      <c r="AB61" s="6">
        <v>163749</v>
      </c>
      <c r="AC61" s="6">
        <v>194039</v>
      </c>
      <c r="AD61" s="6">
        <v>208300</v>
      </c>
      <c r="AE61" s="6">
        <v>158315</v>
      </c>
      <c r="AF61" s="6">
        <v>186899</v>
      </c>
      <c r="AG61" s="6">
        <v>156479</v>
      </c>
      <c r="AH61" s="6">
        <v>160005</v>
      </c>
      <c r="AI61" s="6">
        <v>158750</v>
      </c>
      <c r="AJ61" s="6">
        <v>163172</v>
      </c>
      <c r="AK61" s="6">
        <v>170170</v>
      </c>
      <c r="AL61" s="6">
        <v>157297</v>
      </c>
      <c r="AM61" s="6">
        <v>165673</v>
      </c>
      <c r="AN61" s="6">
        <v>159844</v>
      </c>
      <c r="AO61" s="6">
        <v>191344</v>
      </c>
      <c r="AP61" s="6">
        <v>199414</v>
      </c>
      <c r="AQ61" s="6">
        <v>145035</v>
      </c>
      <c r="AR61" s="6">
        <v>161979</v>
      </c>
      <c r="AS61" s="6">
        <v>179101</v>
      </c>
      <c r="AT61" s="6">
        <v>160478</v>
      </c>
      <c r="AU61" s="6">
        <v>167422</v>
      </c>
      <c r="AV61" s="6">
        <v>171437</v>
      </c>
      <c r="AW61" s="6">
        <v>165049</v>
      </c>
      <c r="AX61" s="6">
        <v>156902</v>
      </c>
      <c r="AY61" s="6">
        <v>166208</v>
      </c>
      <c r="AZ61" s="6">
        <v>162387</v>
      </c>
      <c r="BA61" s="6">
        <v>196437</v>
      </c>
      <c r="BB61" s="6">
        <v>205424</v>
      </c>
      <c r="BC61" s="6">
        <v>149429</v>
      </c>
      <c r="BD61" s="6">
        <v>181586</v>
      </c>
      <c r="BE61" s="6">
        <v>168728</v>
      </c>
      <c r="BF61" s="6">
        <v>161927</v>
      </c>
      <c r="BG61" s="6">
        <v>164692</v>
      </c>
      <c r="BH61" s="6">
        <v>173637</v>
      </c>
      <c r="BI61" s="6">
        <v>171901</v>
      </c>
      <c r="BJ61" s="6">
        <v>159108</v>
      </c>
      <c r="BK61" s="6">
        <v>172247</v>
      </c>
      <c r="BL61" s="6">
        <v>161680</v>
      </c>
      <c r="BM61" s="6">
        <v>197562</v>
      </c>
    </row>
    <row r="62" spans="1:65" s="10" customFormat="1" x14ac:dyDescent="0.25">
      <c r="A62" s="1">
        <v>65</v>
      </c>
      <c r="B62" s="1">
        <f>VLOOKUP(E62,'[2]Peajes (1)'!$A:$D,4,0)</f>
        <v>3814</v>
      </c>
      <c r="C62" s="3" t="s">
        <v>88</v>
      </c>
      <c r="D62" s="3" t="s">
        <v>89</v>
      </c>
      <c r="E62" s="3" t="s">
        <v>91</v>
      </c>
      <c r="F62" s="6">
        <v>445707</v>
      </c>
      <c r="G62" s="6">
        <v>333421</v>
      </c>
      <c r="H62" s="6">
        <v>362654</v>
      </c>
      <c r="I62" s="6">
        <v>401085</v>
      </c>
      <c r="J62" s="6">
        <v>363792</v>
      </c>
      <c r="K62" s="6">
        <v>395251</v>
      </c>
      <c r="L62" s="6">
        <v>406965</v>
      </c>
      <c r="M62" s="6">
        <v>396631</v>
      </c>
      <c r="N62" s="6">
        <v>365335</v>
      </c>
      <c r="O62" s="6">
        <v>409722</v>
      </c>
      <c r="P62" s="6">
        <v>406803</v>
      </c>
      <c r="Q62" s="6">
        <v>481875</v>
      </c>
      <c r="R62" s="6">
        <v>469983</v>
      </c>
      <c r="S62" s="6">
        <v>340132</v>
      </c>
      <c r="T62" s="6">
        <v>388996</v>
      </c>
      <c r="U62" s="6">
        <v>399538</v>
      </c>
      <c r="V62" s="6">
        <v>392882</v>
      </c>
      <c r="W62" s="6">
        <v>430746</v>
      </c>
      <c r="X62" s="6">
        <v>432285</v>
      </c>
      <c r="Y62" s="6">
        <v>416409</v>
      </c>
      <c r="Z62" s="6">
        <v>387483</v>
      </c>
      <c r="AA62" s="6">
        <v>432118</v>
      </c>
      <c r="AB62" s="6">
        <v>407740</v>
      </c>
      <c r="AC62" s="6">
        <v>516075</v>
      </c>
      <c r="AD62" s="6">
        <v>499054</v>
      </c>
      <c r="AE62" s="6">
        <v>359078</v>
      </c>
      <c r="AF62" s="6">
        <v>444072</v>
      </c>
      <c r="AG62" s="6">
        <v>377511</v>
      </c>
      <c r="AH62" s="6">
        <v>408079</v>
      </c>
      <c r="AI62" s="6">
        <v>404752</v>
      </c>
      <c r="AJ62" s="6">
        <v>432111</v>
      </c>
      <c r="AK62" s="6">
        <v>439144</v>
      </c>
      <c r="AL62" s="6">
        <v>398181</v>
      </c>
      <c r="AM62" s="6">
        <v>441263</v>
      </c>
      <c r="AN62" s="6">
        <v>423886</v>
      </c>
      <c r="AO62" s="6">
        <v>515713</v>
      </c>
      <c r="AP62" s="6">
        <v>507555</v>
      </c>
      <c r="AQ62" s="6">
        <v>360786</v>
      </c>
      <c r="AR62" s="6">
        <v>400322</v>
      </c>
      <c r="AS62" s="6">
        <v>438426</v>
      </c>
      <c r="AT62" s="6">
        <v>387535</v>
      </c>
      <c r="AU62" s="6">
        <v>438543</v>
      </c>
      <c r="AV62" s="6">
        <v>454454</v>
      </c>
      <c r="AW62" s="6">
        <v>434646</v>
      </c>
      <c r="AX62" s="6">
        <v>404598</v>
      </c>
      <c r="AY62" s="6">
        <v>445431</v>
      </c>
      <c r="AZ62" s="6">
        <v>425277</v>
      </c>
      <c r="BA62" s="6">
        <v>528808</v>
      </c>
      <c r="BB62" s="6">
        <v>509402</v>
      </c>
      <c r="BC62" s="6">
        <v>362739</v>
      </c>
      <c r="BD62" s="6">
        <v>442517</v>
      </c>
      <c r="BE62" s="6">
        <v>399829</v>
      </c>
      <c r="BF62" s="6">
        <v>398383</v>
      </c>
      <c r="BG62" s="6">
        <v>433402</v>
      </c>
      <c r="BH62" s="6">
        <v>451034</v>
      </c>
      <c r="BI62" s="6">
        <v>430513</v>
      </c>
      <c r="BJ62" s="6">
        <v>395993</v>
      </c>
      <c r="BK62" s="6">
        <v>448546</v>
      </c>
      <c r="BL62" s="6">
        <v>430206</v>
      </c>
      <c r="BM62" s="6">
        <v>515008</v>
      </c>
    </row>
    <row r="63" spans="1:65" x14ac:dyDescent="0.25">
      <c r="A63" s="1">
        <v>21</v>
      </c>
      <c r="B63" s="1">
        <f>VLOOKUP(E63,'[2]Peajes (1)'!$A:$D,4,0)</f>
        <v>3858</v>
      </c>
      <c r="C63" s="3" t="s">
        <v>31</v>
      </c>
      <c r="D63" s="3" t="s">
        <v>32</v>
      </c>
      <c r="E63" s="3" t="s">
        <v>34</v>
      </c>
      <c r="F63" s="6">
        <v>578279</v>
      </c>
      <c r="G63" s="6">
        <v>459768</v>
      </c>
      <c r="H63" s="6">
        <v>514722</v>
      </c>
      <c r="I63" s="6">
        <v>518362</v>
      </c>
      <c r="J63" s="6">
        <v>502847</v>
      </c>
      <c r="K63" s="6">
        <v>536853</v>
      </c>
      <c r="L63" s="6">
        <v>524995</v>
      </c>
      <c r="M63" s="6">
        <v>558216</v>
      </c>
      <c r="N63" s="6">
        <v>501653</v>
      </c>
      <c r="O63" s="6">
        <v>536121</v>
      </c>
      <c r="P63" s="6">
        <v>529705</v>
      </c>
      <c r="Q63" s="6">
        <v>626659</v>
      </c>
      <c r="R63" s="6">
        <v>626004</v>
      </c>
      <c r="S63" s="6">
        <v>477935</v>
      </c>
      <c r="T63" s="6">
        <v>534719</v>
      </c>
      <c r="U63" s="6">
        <v>515949</v>
      </c>
      <c r="V63" s="6">
        <v>546018</v>
      </c>
      <c r="W63" s="6">
        <v>578422</v>
      </c>
      <c r="X63" s="6">
        <v>574667</v>
      </c>
      <c r="Y63" s="6">
        <v>588633</v>
      </c>
      <c r="Z63" s="6">
        <v>538717</v>
      </c>
      <c r="AA63" s="6">
        <v>575813</v>
      </c>
      <c r="AB63" s="6">
        <v>571649</v>
      </c>
      <c r="AC63" s="6">
        <v>685407</v>
      </c>
      <c r="AD63" s="6">
        <v>679452</v>
      </c>
      <c r="AE63" s="6">
        <v>531865</v>
      </c>
      <c r="AF63" s="6">
        <v>608554</v>
      </c>
      <c r="AG63" s="6">
        <v>536188</v>
      </c>
      <c r="AH63" s="6">
        <v>596588</v>
      </c>
      <c r="AI63" s="6">
        <v>588643</v>
      </c>
      <c r="AJ63" s="6">
        <v>597034</v>
      </c>
      <c r="AK63" s="6">
        <v>634257</v>
      </c>
      <c r="AL63" s="6">
        <v>579692</v>
      </c>
      <c r="AM63" s="6">
        <v>546704</v>
      </c>
      <c r="AN63" s="6">
        <v>497690</v>
      </c>
      <c r="AO63" s="6">
        <v>600295</v>
      </c>
      <c r="AP63" s="6">
        <v>219484</v>
      </c>
      <c r="AQ63" s="6">
        <v>507960</v>
      </c>
      <c r="AR63" s="6">
        <v>562301</v>
      </c>
      <c r="AS63" s="6">
        <v>585492</v>
      </c>
      <c r="AT63" s="6">
        <v>584925</v>
      </c>
      <c r="AU63" s="6">
        <v>599108</v>
      </c>
      <c r="AV63" s="6">
        <v>639624</v>
      </c>
      <c r="AW63" s="6">
        <v>624014</v>
      </c>
      <c r="AX63" s="6">
        <v>569122</v>
      </c>
      <c r="AY63" s="6">
        <v>603463</v>
      </c>
      <c r="AZ63" s="6">
        <v>606504</v>
      </c>
      <c r="BA63" s="6">
        <v>706016</v>
      </c>
      <c r="BB63" s="6">
        <v>691087</v>
      </c>
      <c r="BC63" s="6">
        <v>549527</v>
      </c>
      <c r="BD63" s="6">
        <v>639142</v>
      </c>
      <c r="BE63" s="6">
        <v>588284</v>
      </c>
      <c r="BF63" s="6">
        <v>602788</v>
      </c>
      <c r="BG63" s="6">
        <v>647580</v>
      </c>
      <c r="BH63" s="6">
        <v>674174</v>
      </c>
      <c r="BI63" s="6">
        <v>674263</v>
      </c>
      <c r="BJ63" s="6">
        <v>621268</v>
      </c>
      <c r="BK63" s="6">
        <v>651998</v>
      </c>
      <c r="BL63" s="6">
        <v>647119</v>
      </c>
      <c r="BM63" s="6">
        <v>764383</v>
      </c>
    </row>
    <row r="64" spans="1:65" x14ac:dyDescent="0.25">
      <c r="A64" s="1">
        <v>111</v>
      </c>
      <c r="B64" s="1">
        <f>VLOOKUP(E64,'[2]Peajes (1)'!$A:$D,4,0)</f>
        <v>6404</v>
      </c>
      <c r="C64" s="3" t="s">
        <v>170</v>
      </c>
      <c r="D64" s="3" t="s">
        <v>171</v>
      </c>
      <c r="E64" s="3" t="s">
        <v>174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</row>
    <row r="65" spans="1:65" x14ac:dyDescent="0.25">
      <c r="A65" s="1">
        <v>124</v>
      </c>
      <c r="B65" s="1">
        <f>VLOOKUP(E65,'[2]Peajes (1)'!$A:$D,4,0)</f>
        <v>3940</v>
      </c>
      <c r="C65" s="3" t="s">
        <v>185</v>
      </c>
      <c r="D65" s="3" t="s">
        <v>186</v>
      </c>
      <c r="E65" s="3" t="s">
        <v>188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38994</v>
      </c>
      <c r="Z65" s="6">
        <v>114672</v>
      </c>
      <c r="AA65" s="6">
        <v>132304</v>
      </c>
      <c r="AB65" s="6">
        <v>124770</v>
      </c>
      <c r="AC65" s="6">
        <v>161004</v>
      </c>
      <c r="AD65" s="6">
        <v>170599</v>
      </c>
      <c r="AE65" s="6">
        <v>110976</v>
      </c>
      <c r="AF65" s="6">
        <v>141250</v>
      </c>
      <c r="AG65" s="6">
        <v>114929</v>
      </c>
      <c r="AH65" s="6">
        <v>124956</v>
      </c>
      <c r="AI65" s="6">
        <v>128373</v>
      </c>
      <c r="AJ65" s="6">
        <v>132815</v>
      </c>
      <c r="AK65" s="6">
        <v>136506</v>
      </c>
      <c r="AL65" s="6">
        <v>120465</v>
      </c>
      <c r="AM65" s="6">
        <v>136745</v>
      </c>
      <c r="AN65" s="6">
        <v>130147</v>
      </c>
      <c r="AO65" s="6">
        <v>163719</v>
      </c>
      <c r="AP65" s="6">
        <v>184108</v>
      </c>
      <c r="AQ65" s="6">
        <v>114208</v>
      </c>
      <c r="AR65" s="6">
        <v>124404</v>
      </c>
      <c r="AS65" s="6">
        <v>140220</v>
      </c>
      <c r="AT65" s="6">
        <v>120464</v>
      </c>
      <c r="AU65" s="6">
        <v>137265</v>
      </c>
      <c r="AV65" s="6">
        <v>138458</v>
      </c>
      <c r="AW65" s="6">
        <v>134103</v>
      </c>
      <c r="AX65" s="6">
        <v>119614</v>
      </c>
      <c r="AY65" s="6">
        <v>135273</v>
      </c>
      <c r="AZ65" s="6">
        <v>129818</v>
      </c>
      <c r="BA65" s="6">
        <v>165445</v>
      </c>
      <c r="BB65" s="6">
        <v>182806</v>
      </c>
      <c r="BC65" s="6">
        <v>117580</v>
      </c>
      <c r="BD65" s="6">
        <v>143443</v>
      </c>
      <c r="BE65" s="6">
        <v>125395</v>
      </c>
      <c r="BF65" s="6">
        <v>124952</v>
      </c>
      <c r="BG65" s="6">
        <v>136189</v>
      </c>
      <c r="BH65" s="6">
        <v>142909</v>
      </c>
      <c r="BI65" s="6">
        <v>134709</v>
      </c>
      <c r="BJ65" s="6">
        <v>119229</v>
      </c>
      <c r="BK65" s="6">
        <v>134459</v>
      </c>
      <c r="BL65" s="6">
        <v>124465</v>
      </c>
      <c r="BM65" s="6">
        <v>152496</v>
      </c>
    </row>
    <row r="66" spans="1:65" s="10" customFormat="1" hidden="1" x14ac:dyDescent="0.25">
      <c r="A66" s="8">
        <v>26</v>
      </c>
      <c r="B66" s="1">
        <f>VLOOKUP(E66,'[2]Peajes (1)'!$A:$D,4,0)</f>
        <v>3970</v>
      </c>
      <c r="C66" s="8" t="s">
        <v>41</v>
      </c>
      <c r="D66" s="8" t="s">
        <v>42</v>
      </c>
      <c r="E66" s="8" t="s">
        <v>43</v>
      </c>
      <c r="F66" s="9">
        <v>113380</v>
      </c>
      <c r="G66" s="9">
        <v>84189</v>
      </c>
      <c r="H66" s="9">
        <v>91555</v>
      </c>
      <c r="I66" s="9">
        <v>94211</v>
      </c>
      <c r="J66" s="9">
        <v>90376</v>
      </c>
      <c r="K66" s="9">
        <v>91143</v>
      </c>
      <c r="L66" s="9">
        <v>95667</v>
      </c>
      <c r="M66" s="9">
        <v>100360</v>
      </c>
      <c r="N66" s="9">
        <v>90875</v>
      </c>
      <c r="O66" s="9">
        <v>97457</v>
      </c>
      <c r="P66" s="9">
        <v>92841</v>
      </c>
      <c r="Q66" s="9">
        <v>108451</v>
      </c>
      <c r="R66" s="9">
        <v>124470</v>
      </c>
      <c r="S66" s="9">
        <v>85497</v>
      </c>
      <c r="T66" s="9">
        <v>95537</v>
      </c>
      <c r="U66" s="9">
        <v>95397</v>
      </c>
      <c r="V66" s="9">
        <v>96232</v>
      </c>
      <c r="W66" s="9">
        <v>24804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</row>
    <row r="67" spans="1:65" s="10" customFormat="1" hidden="1" x14ac:dyDescent="0.25">
      <c r="A67" s="8">
        <v>130</v>
      </c>
      <c r="B67" s="1">
        <f>VLOOKUP(E67,'[2]Peajes (1)'!$A:$D,4,0)</f>
        <v>3970</v>
      </c>
      <c r="C67" s="8" t="s">
        <v>195</v>
      </c>
      <c r="D67" s="8" t="s">
        <v>196</v>
      </c>
      <c r="E67" s="8" t="s">
        <v>43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71715</v>
      </c>
      <c r="X67" s="9">
        <v>97581</v>
      </c>
      <c r="Y67" s="9">
        <v>104100</v>
      </c>
      <c r="Z67" s="9">
        <v>96440</v>
      </c>
      <c r="AA67" s="9">
        <v>107603</v>
      </c>
      <c r="AB67" s="9">
        <v>102310</v>
      </c>
      <c r="AC67" s="9">
        <v>117126</v>
      </c>
      <c r="AD67" s="9">
        <v>133083</v>
      </c>
      <c r="AE67" s="9">
        <v>95187</v>
      </c>
      <c r="AF67" s="9">
        <v>107072</v>
      </c>
      <c r="AG67" s="9">
        <v>94471</v>
      </c>
      <c r="AH67" s="9">
        <v>99765</v>
      </c>
      <c r="AI67" s="9">
        <v>101346</v>
      </c>
      <c r="AJ67" s="9">
        <v>102774</v>
      </c>
      <c r="AK67" s="9">
        <v>107695</v>
      </c>
      <c r="AL67" s="9">
        <v>100733</v>
      </c>
      <c r="AM67" s="9">
        <v>106630</v>
      </c>
      <c r="AN67" s="9">
        <v>105113</v>
      </c>
      <c r="AO67" s="9">
        <v>120307</v>
      </c>
      <c r="AP67" s="9">
        <v>130462</v>
      </c>
      <c r="AQ67" s="9">
        <v>95760</v>
      </c>
      <c r="AR67" s="9">
        <v>104063</v>
      </c>
      <c r="AS67" s="9">
        <v>104991</v>
      </c>
      <c r="AT67" s="9">
        <v>100118</v>
      </c>
      <c r="AU67" s="9">
        <v>98204</v>
      </c>
      <c r="AV67" s="9">
        <v>104911</v>
      </c>
      <c r="AW67" s="9">
        <v>111136</v>
      </c>
      <c r="AX67" s="9">
        <v>98929</v>
      </c>
      <c r="AY67" s="9">
        <v>106868</v>
      </c>
      <c r="AZ67" s="9">
        <v>106070</v>
      </c>
      <c r="BA67" s="9">
        <v>122230</v>
      </c>
      <c r="BB67" s="9">
        <v>128739</v>
      </c>
      <c r="BC67" s="9">
        <v>89700</v>
      </c>
      <c r="BD67" s="9">
        <v>106323</v>
      </c>
      <c r="BE67" s="9">
        <v>97267</v>
      </c>
      <c r="BF67" s="9">
        <v>95708</v>
      </c>
      <c r="BG67" s="9">
        <v>95827</v>
      </c>
      <c r="BH67" s="9">
        <v>102794</v>
      </c>
      <c r="BI67" s="9">
        <v>99967</v>
      </c>
      <c r="BJ67" s="9">
        <v>95431</v>
      </c>
      <c r="BK67" s="9">
        <v>102903</v>
      </c>
      <c r="BL67" s="9">
        <v>100835</v>
      </c>
      <c r="BM67" s="9">
        <v>119374</v>
      </c>
    </row>
    <row r="68" spans="1:65" s="10" customFormat="1" x14ac:dyDescent="0.25">
      <c r="A68" s="8">
        <v>130</v>
      </c>
      <c r="B68" s="1">
        <f>VLOOKUP(E68,'[2]Peajes (1)'!$A:$D,4,0)</f>
        <v>3970</v>
      </c>
      <c r="C68" s="8" t="s">
        <v>195</v>
      </c>
      <c r="D68" s="8" t="s">
        <v>196</v>
      </c>
      <c r="E68" s="8" t="s">
        <v>43</v>
      </c>
      <c r="F68" s="9">
        <f>SUM(F66:F67)</f>
        <v>113380</v>
      </c>
      <c r="G68" s="9">
        <f t="shared" ref="G68:BM68" si="6">SUM(G66:G67)</f>
        <v>84189</v>
      </c>
      <c r="H68" s="9">
        <f t="shared" si="6"/>
        <v>91555</v>
      </c>
      <c r="I68" s="9">
        <f t="shared" si="6"/>
        <v>94211</v>
      </c>
      <c r="J68" s="9">
        <f t="shared" si="6"/>
        <v>90376</v>
      </c>
      <c r="K68" s="9">
        <f t="shared" si="6"/>
        <v>91143</v>
      </c>
      <c r="L68" s="9">
        <f t="shared" si="6"/>
        <v>95667</v>
      </c>
      <c r="M68" s="9">
        <f t="shared" si="6"/>
        <v>100360</v>
      </c>
      <c r="N68" s="9">
        <f t="shared" si="6"/>
        <v>90875</v>
      </c>
      <c r="O68" s="9">
        <f t="shared" si="6"/>
        <v>97457</v>
      </c>
      <c r="P68" s="9">
        <f t="shared" si="6"/>
        <v>92841</v>
      </c>
      <c r="Q68" s="9">
        <f t="shared" si="6"/>
        <v>108451</v>
      </c>
      <c r="R68" s="9">
        <f t="shared" si="6"/>
        <v>124470</v>
      </c>
      <c r="S68" s="9">
        <f t="shared" si="6"/>
        <v>85497</v>
      </c>
      <c r="T68" s="9">
        <f t="shared" si="6"/>
        <v>95537</v>
      </c>
      <c r="U68" s="9">
        <f t="shared" si="6"/>
        <v>95397</v>
      </c>
      <c r="V68" s="9">
        <f t="shared" si="6"/>
        <v>96232</v>
      </c>
      <c r="W68" s="9">
        <f t="shared" si="6"/>
        <v>96519</v>
      </c>
      <c r="X68" s="9">
        <f t="shared" si="6"/>
        <v>97581</v>
      </c>
      <c r="Y68" s="9">
        <f t="shared" si="6"/>
        <v>104100</v>
      </c>
      <c r="Z68" s="9">
        <f t="shared" si="6"/>
        <v>96440</v>
      </c>
      <c r="AA68" s="9">
        <f t="shared" si="6"/>
        <v>107603</v>
      </c>
      <c r="AB68" s="9">
        <f t="shared" si="6"/>
        <v>102310</v>
      </c>
      <c r="AC68" s="9">
        <f t="shared" si="6"/>
        <v>117126</v>
      </c>
      <c r="AD68" s="9">
        <f t="shared" si="6"/>
        <v>133083</v>
      </c>
      <c r="AE68" s="9">
        <f t="shared" si="6"/>
        <v>95187</v>
      </c>
      <c r="AF68" s="9">
        <f t="shared" si="6"/>
        <v>107072</v>
      </c>
      <c r="AG68" s="9">
        <f t="shared" si="6"/>
        <v>94471</v>
      </c>
      <c r="AH68" s="9">
        <f t="shared" si="6"/>
        <v>99765</v>
      </c>
      <c r="AI68" s="9">
        <f t="shared" si="6"/>
        <v>101346</v>
      </c>
      <c r="AJ68" s="9">
        <f t="shared" si="6"/>
        <v>102774</v>
      </c>
      <c r="AK68" s="9">
        <f t="shared" si="6"/>
        <v>107695</v>
      </c>
      <c r="AL68" s="9">
        <f t="shared" si="6"/>
        <v>100733</v>
      </c>
      <c r="AM68" s="9">
        <f t="shared" si="6"/>
        <v>106630</v>
      </c>
      <c r="AN68" s="9">
        <f t="shared" si="6"/>
        <v>105113</v>
      </c>
      <c r="AO68" s="9">
        <f t="shared" si="6"/>
        <v>120307</v>
      </c>
      <c r="AP68" s="9">
        <f t="shared" si="6"/>
        <v>130462</v>
      </c>
      <c r="AQ68" s="9">
        <f t="shared" si="6"/>
        <v>95760</v>
      </c>
      <c r="AR68" s="9">
        <f t="shared" si="6"/>
        <v>104063</v>
      </c>
      <c r="AS68" s="9">
        <f t="shared" si="6"/>
        <v>104991</v>
      </c>
      <c r="AT68" s="9">
        <f t="shared" si="6"/>
        <v>100118</v>
      </c>
      <c r="AU68" s="9">
        <f t="shared" si="6"/>
        <v>98204</v>
      </c>
      <c r="AV68" s="9">
        <f t="shared" si="6"/>
        <v>104911</v>
      </c>
      <c r="AW68" s="9">
        <f t="shared" si="6"/>
        <v>111136</v>
      </c>
      <c r="AX68" s="9">
        <f t="shared" si="6"/>
        <v>98929</v>
      </c>
      <c r="AY68" s="9">
        <f t="shared" si="6"/>
        <v>106868</v>
      </c>
      <c r="AZ68" s="9">
        <f t="shared" si="6"/>
        <v>106070</v>
      </c>
      <c r="BA68" s="9">
        <f t="shared" si="6"/>
        <v>122230</v>
      </c>
      <c r="BB68" s="9">
        <f t="shared" si="6"/>
        <v>128739</v>
      </c>
      <c r="BC68" s="9">
        <f t="shared" si="6"/>
        <v>89700</v>
      </c>
      <c r="BD68" s="9">
        <f t="shared" si="6"/>
        <v>106323</v>
      </c>
      <c r="BE68" s="9">
        <f t="shared" si="6"/>
        <v>97267</v>
      </c>
      <c r="BF68" s="9">
        <f t="shared" si="6"/>
        <v>95708</v>
      </c>
      <c r="BG68" s="9">
        <f t="shared" si="6"/>
        <v>95827</v>
      </c>
      <c r="BH68" s="9">
        <f t="shared" si="6"/>
        <v>102794</v>
      </c>
      <c r="BI68" s="9">
        <f t="shared" si="6"/>
        <v>99967</v>
      </c>
      <c r="BJ68" s="9">
        <f t="shared" si="6"/>
        <v>95431</v>
      </c>
      <c r="BK68" s="9">
        <f t="shared" si="6"/>
        <v>102903</v>
      </c>
      <c r="BL68" s="9">
        <f t="shared" si="6"/>
        <v>100835</v>
      </c>
      <c r="BM68" s="9">
        <f t="shared" si="6"/>
        <v>119374</v>
      </c>
    </row>
    <row r="69" spans="1:65" x14ac:dyDescent="0.25">
      <c r="A69" s="1">
        <v>106</v>
      </c>
      <c r="B69" s="1">
        <f>VLOOKUP(E69,'[2]Peajes (1)'!$A:$D,4,0)</f>
        <v>10006</v>
      </c>
      <c r="C69" s="3" t="s">
        <v>163</v>
      </c>
      <c r="D69" s="3" t="s">
        <v>164</v>
      </c>
      <c r="E69" s="3" t="s">
        <v>165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</row>
    <row r="70" spans="1:65" x14ac:dyDescent="0.25">
      <c r="A70" s="1">
        <v>117</v>
      </c>
      <c r="B70" s="1">
        <f>VLOOKUP(E70,'[2]Peajes (1)'!$A:$D,4,0)</f>
        <v>3945</v>
      </c>
      <c r="C70" s="3" t="s">
        <v>177</v>
      </c>
      <c r="D70" s="3" t="s">
        <v>178</v>
      </c>
      <c r="E70" s="3" t="s">
        <v>180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16405</v>
      </c>
      <c r="AC70" s="6">
        <v>151893</v>
      </c>
      <c r="AD70" s="6">
        <v>167764</v>
      </c>
      <c r="AE70" s="6">
        <v>107243</v>
      </c>
      <c r="AF70" s="6">
        <v>129057</v>
      </c>
      <c r="AG70" s="6">
        <v>103840</v>
      </c>
      <c r="AH70" s="6">
        <v>110086</v>
      </c>
      <c r="AI70" s="6">
        <v>106122</v>
      </c>
      <c r="AJ70" s="6">
        <v>97907</v>
      </c>
      <c r="AK70" s="6">
        <v>113156</v>
      </c>
      <c r="AL70" s="6">
        <v>98690</v>
      </c>
      <c r="AM70" s="6">
        <v>106531</v>
      </c>
      <c r="AN70" s="6">
        <v>102194</v>
      </c>
      <c r="AO70" s="6">
        <v>125142</v>
      </c>
      <c r="AP70" s="6">
        <v>141415</v>
      </c>
      <c r="AQ70" s="6">
        <v>86581</v>
      </c>
      <c r="AR70" s="6">
        <v>93310</v>
      </c>
      <c r="AS70" s="6">
        <v>107914</v>
      </c>
      <c r="AT70" s="6">
        <v>87510</v>
      </c>
      <c r="AU70" s="6">
        <v>96304</v>
      </c>
      <c r="AV70" s="6">
        <v>96148</v>
      </c>
      <c r="AW70" s="6">
        <v>101112</v>
      </c>
      <c r="AX70" s="6">
        <v>90091</v>
      </c>
      <c r="AY70" s="6">
        <v>97762</v>
      </c>
      <c r="AZ70" s="6">
        <v>91113</v>
      </c>
      <c r="BA70" s="6">
        <v>125568</v>
      </c>
      <c r="BB70" s="6">
        <v>154890</v>
      </c>
      <c r="BC70" s="6">
        <v>91808</v>
      </c>
      <c r="BD70" s="6">
        <v>116155</v>
      </c>
      <c r="BE70" s="6">
        <v>104712</v>
      </c>
      <c r="BF70" s="6">
        <v>78775</v>
      </c>
      <c r="BG70" s="6">
        <v>59339</v>
      </c>
      <c r="BH70" s="6">
        <v>102404</v>
      </c>
      <c r="BI70" s="6">
        <v>106610</v>
      </c>
      <c r="BJ70" s="6">
        <v>93183</v>
      </c>
      <c r="BK70" s="6">
        <v>105480</v>
      </c>
      <c r="BL70" s="6">
        <v>102281</v>
      </c>
      <c r="BM70" s="6">
        <v>135689</v>
      </c>
    </row>
    <row r="71" spans="1:65" x14ac:dyDescent="0.25">
      <c r="A71" s="1">
        <v>141</v>
      </c>
      <c r="B71" s="1">
        <f>VLOOKUP(E71,'[2]Peajes (1)'!$A:$D,4,0)</f>
        <v>3850</v>
      </c>
      <c r="C71" s="3" t="s">
        <v>208</v>
      </c>
      <c r="D71" s="3" t="s">
        <v>209</v>
      </c>
      <c r="E71" s="3" t="s">
        <v>210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21329</v>
      </c>
      <c r="R71" s="6">
        <v>54233</v>
      </c>
      <c r="S71" s="6">
        <v>46516</v>
      </c>
      <c r="T71" s="6">
        <v>53016</v>
      </c>
      <c r="U71" s="6">
        <v>49994</v>
      </c>
      <c r="V71" s="6">
        <v>56779</v>
      </c>
      <c r="W71" s="6">
        <v>50662</v>
      </c>
      <c r="X71" s="6">
        <v>51848</v>
      </c>
      <c r="Y71" s="6">
        <v>57366</v>
      </c>
      <c r="Z71" s="6">
        <v>50867</v>
      </c>
      <c r="AA71" s="6">
        <v>54381</v>
      </c>
      <c r="AB71" s="6">
        <v>53774</v>
      </c>
      <c r="AC71" s="6">
        <v>56516</v>
      </c>
      <c r="AD71" s="6">
        <v>59250</v>
      </c>
      <c r="AE71" s="6">
        <v>50147</v>
      </c>
      <c r="AF71" s="6">
        <v>57752</v>
      </c>
      <c r="AG71" s="6">
        <v>50772</v>
      </c>
      <c r="AH71" s="6">
        <v>58128</v>
      </c>
      <c r="AI71" s="6">
        <v>55660</v>
      </c>
      <c r="AJ71" s="6">
        <v>57389</v>
      </c>
      <c r="AK71" s="6">
        <v>56902</v>
      </c>
      <c r="AL71" s="6">
        <v>51633</v>
      </c>
      <c r="AM71" s="6">
        <v>55783</v>
      </c>
      <c r="AN71" s="6">
        <v>53610</v>
      </c>
      <c r="AO71" s="6">
        <v>56251</v>
      </c>
      <c r="AP71" s="6">
        <v>57459</v>
      </c>
      <c r="AQ71" s="6">
        <v>50300</v>
      </c>
      <c r="AR71" s="6">
        <v>53616</v>
      </c>
      <c r="AS71" s="6">
        <v>54906</v>
      </c>
      <c r="AT71" s="6">
        <v>53371</v>
      </c>
      <c r="AU71" s="6">
        <v>48992</v>
      </c>
      <c r="AV71" s="6">
        <v>51680</v>
      </c>
      <c r="AW71" s="6">
        <v>52224</v>
      </c>
      <c r="AX71" s="6">
        <v>47153</v>
      </c>
      <c r="AY71" s="6">
        <v>50819</v>
      </c>
      <c r="AZ71" s="6">
        <v>47548</v>
      </c>
      <c r="BA71" s="6">
        <v>50832</v>
      </c>
      <c r="BB71" s="6">
        <v>51172</v>
      </c>
      <c r="BC71" s="6">
        <v>42861</v>
      </c>
      <c r="BD71" s="6">
        <v>47801</v>
      </c>
      <c r="BE71" s="6">
        <v>41754</v>
      </c>
      <c r="BF71" s="6">
        <v>37042</v>
      </c>
      <c r="BG71" s="6">
        <v>32871</v>
      </c>
      <c r="BH71" s="6">
        <v>30919</v>
      </c>
      <c r="BI71" s="6">
        <v>32202</v>
      </c>
      <c r="BJ71" s="6">
        <v>35393</v>
      </c>
      <c r="BK71" s="6">
        <v>40209</v>
      </c>
      <c r="BL71" s="6">
        <v>45235</v>
      </c>
      <c r="BM71" s="6">
        <v>52613</v>
      </c>
    </row>
    <row r="72" spans="1:65" x14ac:dyDescent="0.25">
      <c r="A72" s="1">
        <v>55</v>
      </c>
      <c r="B72" s="1">
        <f>VLOOKUP(E72,'[2]Peajes (1)'!$A:$D,4,0)</f>
        <v>3819</v>
      </c>
      <c r="C72" s="3" t="s">
        <v>84</v>
      </c>
      <c r="D72" s="3" t="s">
        <v>85</v>
      </c>
      <c r="E72" s="3" t="s">
        <v>86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>
        <v>0</v>
      </c>
      <c r="AE72" s="6">
        <v>0</v>
      </c>
      <c r="AF72" s="6">
        <v>0</v>
      </c>
      <c r="AG72" s="6">
        <v>43156</v>
      </c>
      <c r="AH72" s="6">
        <v>102925</v>
      </c>
      <c r="AI72" s="6">
        <v>102506</v>
      </c>
      <c r="AJ72" s="6">
        <v>109456</v>
      </c>
      <c r="AK72" s="6">
        <v>103542</v>
      </c>
      <c r="AL72" s="6">
        <v>96451</v>
      </c>
      <c r="AM72" s="6">
        <v>99274</v>
      </c>
      <c r="AN72" s="6">
        <v>94462</v>
      </c>
      <c r="AO72" s="6">
        <v>111557</v>
      </c>
      <c r="AP72" s="6">
        <v>125014</v>
      </c>
      <c r="AQ72" s="6">
        <v>85272</v>
      </c>
      <c r="AR72" s="6">
        <v>99095</v>
      </c>
      <c r="AS72" s="6">
        <v>112749</v>
      </c>
      <c r="AT72" s="6">
        <v>99117</v>
      </c>
      <c r="AU72" s="6">
        <v>100623</v>
      </c>
      <c r="AV72" s="6">
        <v>105880</v>
      </c>
      <c r="AW72" s="6">
        <v>102717</v>
      </c>
      <c r="AX72" s="6">
        <v>99977</v>
      </c>
      <c r="AY72" s="6">
        <v>104766</v>
      </c>
      <c r="AZ72" s="6">
        <v>100350</v>
      </c>
      <c r="BA72" s="6">
        <v>119471</v>
      </c>
      <c r="BB72" s="6">
        <v>134234</v>
      </c>
      <c r="BC72" s="6">
        <v>91874</v>
      </c>
      <c r="BD72" s="6">
        <v>112953</v>
      </c>
      <c r="BE72" s="6">
        <v>102991</v>
      </c>
      <c r="BF72" s="6">
        <v>97460</v>
      </c>
      <c r="BG72" s="6">
        <v>92965</v>
      </c>
      <c r="BH72" s="6">
        <v>108550</v>
      </c>
      <c r="BI72" s="6">
        <v>102825</v>
      </c>
      <c r="BJ72" s="6">
        <v>95881</v>
      </c>
      <c r="BK72" s="6">
        <v>103128</v>
      </c>
      <c r="BL72" s="6">
        <v>100076</v>
      </c>
      <c r="BM72" s="6">
        <v>120453</v>
      </c>
    </row>
    <row r="73" spans="1:65" x14ac:dyDescent="0.25">
      <c r="A73" s="1">
        <v>80</v>
      </c>
      <c r="B73" s="1">
        <f>VLOOKUP(E73,'[2]Peajes (1)'!$A:$D,4,0)</f>
        <v>3800</v>
      </c>
      <c r="C73" s="3" t="s">
        <v>112</v>
      </c>
      <c r="D73" s="3" t="s">
        <v>113</v>
      </c>
      <c r="E73" s="3" t="s">
        <v>116</v>
      </c>
      <c r="F73" s="6">
        <v>140431</v>
      </c>
      <c r="G73" s="6">
        <v>88874</v>
      </c>
      <c r="H73" s="6">
        <v>99423</v>
      </c>
      <c r="I73" s="6">
        <v>115850</v>
      </c>
      <c r="J73" s="6">
        <v>79229</v>
      </c>
      <c r="K73" s="6">
        <v>109703</v>
      </c>
      <c r="L73" s="6">
        <v>120987</v>
      </c>
      <c r="M73" s="6">
        <v>109860</v>
      </c>
      <c r="N73" s="6">
        <v>99049</v>
      </c>
      <c r="O73" s="6">
        <v>108980</v>
      </c>
      <c r="P73" s="6">
        <v>102361</v>
      </c>
      <c r="Q73" s="6">
        <v>123970</v>
      </c>
      <c r="R73" s="6">
        <v>139876</v>
      </c>
      <c r="S73" s="6">
        <v>94551</v>
      </c>
      <c r="T73" s="6">
        <v>106755</v>
      </c>
      <c r="U73" s="6">
        <v>103405</v>
      </c>
      <c r="V73" s="6">
        <v>99583</v>
      </c>
      <c r="W73" s="6">
        <v>103528</v>
      </c>
      <c r="X73" s="6">
        <v>117053</v>
      </c>
      <c r="Y73" s="6">
        <v>111602</v>
      </c>
      <c r="Z73" s="6">
        <v>108338</v>
      </c>
      <c r="AA73" s="6">
        <v>117345</v>
      </c>
      <c r="AB73" s="6">
        <v>111274</v>
      </c>
      <c r="AC73" s="6">
        <v>141561</v>
      </c>
      <c r="AD73" s="6">
        <v>161196</v>
      </c>
      <c r="AE73" s="6">
        <v>100913</v>
      </c>
      <c r="AF73" s="6">
        <v>115893</v>
      </c>
      <c r="AG73" s="6">
        <v>100227</v>
      </c>
      <c r="AH73" s="6">
        <v>93041</v>
      </c>
      <c r="AI73" s="6">
        <v>103249</v>
      </c>
      <c r="AJ73" s="6">
        <v>100873</v>
      </c>
      <c r="AK73" s="6">
        <v>101799</v>
      </c>
      <c r="AL73" s="6">
        <v>96511</v>
      </c>
      <c r="AM73" s="6">
        <v>104881</v>
      </c>
      <c r="AN73" s="6">
        <v>102179</v>
      </c>
      <c r="AO73" s="6">
        <v>131745</v>
      </c>
      <c r="AP73" s="6">
        <v>151759</v>
      </c>
      <c r="AQ73" s="6">
        <v>88198</v>
      </c>
      <c r="AR73" s="6">
        <v>94448</v>
      </c>
      <c r="AS73" s="6">
        <v>108062</v>
      </c>
      <c r="AT73" s="6">
        <v>91865</v>
      </c>
      <c r="AU73" s="6">
        <v>98481</v>
      </c>
      <c r="AV73" s="6">
        <v>98626</v>
      </c>
      <c r="AW73" s="6">
        <v>98091</v>
      </c>
      <c r="AX73" s="6">
        <v>93578</v>
      </c>
      <c r="AY73" s="6">
        <v>69662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</row>
    <row r="74" spans="1:65" hidden="1" x14ac:dyDescent="0.25">
      <c r="A74" s="8">
        <v>27</v>
      </c>
      <c r="B74" s="1">
        <f>VLOOKUP(E74,'[2]Peajes (1)'!$A:$D,4,0)</f>
        <v>3922</v>
      </c>
      <c r="C74" s="8" t="s">
        <v>41</v>
      </c>
      <c r="D74" s="8" t="s">
        <v>42</v>
      </c>
      <c r="E74" s="8" t="s">
        <v>44</v>
      </c>
      <c r="F74" s="6">
        <v>145581</v>
      </c>
      <c r="G74" s="6">
        <v>116892</v>
      </c>
      <c r="H74" s="6">
        <v>133252</v>
      </c>
      <c r="I74" s="6">
        <v>128381</v>
      </c>
      <c r="J74" s="6">
        <v>128976</v>
      </c>
      <c r="K74" s="6">
        <v>121552</v>
      </c>
      <c r="L74" s="6">
        <v>121674</v>
      </c>
      <c r="M74" s="6">
        <v>126053</v>
      </c>
      <c r="N74" s="6">
        <v>118296</v>
      </c>
      <c r="O74" s="6">
        <v>123562</v>
      </c>
      <c r="P74" s="6">
        <v>121365</v>
      </c>
      <c r="Q74" s="6">
        <v>127341</v>
      </c>
      <c r="R74" s="6">
        <v>138407</v>
      </c>
      <c r="S74" s="6">
        <v>103706</v>
      </c>
      <c r="T74" s="6">
        <v>110953</v>
      </c>
      <c r="U74" s="6">
        <v>109871</v>
      </c>
      <c r="V74" s="6">
        <v>106933</v>
      </c>
      <c r="W74" s="6">
        <v>26429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</row>
    <row r="75" spans="1:65" hidden="1" x14ac:dyDescent="0.25">
      <c r="A75" s="8">
        <v>131</v>
      </c>
      <c r="B75" s="1">
        <f>VLOOKUP(E75,'[2]Peajes (1)'!$A:$D,4,0)</f>
        <v>3922</v>
      </c>
      <c r="C75" s="8" t="s">
        <v>195</v>
      </c>
      <c r="D75" s="8" t="s">
        <v>196</v>
      </c>
      <c r="E75" s="8" t="s">
        <v>44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80513</v>
      </c>
      <c r="X75" s="6">
        <v>117074</v>
      </c>
      <c r="Y75" s="6">
        <v>121922</v>
      </c>
      <c r="Z75" s="6">
        <v>117770</v>
      </c>
      <c r="AA75" s="6">
        <v>123785</v>
      </c>
      <c r="AB75" s="6">
        <v>111314</v>
      </c>
      <c r="AC75" s="6">
        <v>123206</v>
      </c>
      <c r="AD75" s="6">
        <v>122073</v>
      </c>
      <c r="AE75" s="6">
        <v>96967</v>
      </c>
      <c r="AF75" s="6">
        <v>101485</v>
      </c>
      <c r="AG75" s="6">
        <v>91502</v>
      </c>
      <c r="AH75" s="6">
        <v>92884</v>
      </c>
      <c r="AI75" s="6">
        <v>91569</v>
      </c>
      <c r="AJ75" s="6">
        <v>94790</v>
      </c>
      <c r="AK75" s="6">
        <v>95629</v>
      </c>
      <c r="AL75" s="6">
        <v>91219</v>
      </c>
      <c r="AM75" s="6">
        <v>96307</v>
      </c>
      <c r="AN75" s="6">
        <v>91693</v>
      </c>
      <c r="AO75" s="6">
        <v>104334</v>
      </c>
      <c r="AP75" s="6">
        <v>110453</v>
      </c>
      <c r="AQ75" s="6">
        <v>82563</v>
      </c>
      <c r="AR75" s="6">
        <v>92880</v>
      </c>
      <c r="AS75" s="6">
        <v>92284</v>
      </c>
      <c r="AT75" s="6">
        <v>89724</v>
      </c>
      <c r="AU75" s="6">
        <v>90498</v>
      </c>
      <c r="AV75" s="6">
        <v>91833</v>
      </c>
      <c r="AW75" s="6">
        <v>97349</v>
      </c>
      <c r="AX75" s="6">
        <v>86513</v>
      </c>
      <c r="AY75" s="6">
        <v>93214</v>
      </c>
      <c r="AZ75" s="6">
        <v>94996</v>
      </c>
      <c r="BA75" s="6">
        <v>109286</v>
      </c>
      <c r="BB75" s="6">
        <v>110693</v>
      </c>
      <c r="BC75" s="6">
        <v>87220</v>
      </c>
      <c r="BD75" s="6">
        <v>101601</v>
      </c>
      <c r="BE75" s="6">
        <v>94072</v>
      </c>
      <c r="BF75" s="6">
        <v>97645</v>
      </c>
      <c r="BG75" s="6">
        <v>95810</v>
      </c>
      <c r="BH75" s="6">
        <v>97044</v>
      </c>
      <c r="BI75" s="6">
        <v>97142</v>
      </c>
      <c r="BJ75" s="6">
        <v>91356</v>
      </c>
      <c r="BK75" s="6">
        <v>99182</v>
      </c>
      <c r="BL75" s="6">
        <v>99204</v>
      </c>
      <c r="BM75" s="6">
        <v>110471</v>
      </c>
    </row>
    <row r="76" spans="1:65" x14ac:dyDescent="0.25">
      <c r="A76" s="8">
        <v>131</v>
      </c>
      <c r="B76" s="1">
        <f>VLOOKUP(E76,'[2]Peajes (1)'!$A:$D,4,0)</f>
        <v>3922</v>
      </c>
      <c r="C76" s="8" t="s">
        <v>195</v>
      </c>
      <c r="D76" s="8" t="s">
        <v>196</v>
      </c>
      <c r="E76" s="8" t="s">
        <v>44</v>
      </c>
      <c r="F76" s="6">
        <f>SUM(F74:F75)</f>
        <v>145581</v>
      </c>
      <c r="G76" s="6">
        <f t="shared" ref="G76:BM76" si="7">SUM(G74:G75)</f>
        <v>116892</v>
      </c>
      <c r="H76" s="6">
        <f t="shared" si="7"/>
        <v>133252</v>
      </c>
      <c r="I76" s="6">
        <f t="shared" si="7"/>
        <v>128381</v>
      </c>
      <c r="J76" s="6">
        <f t="shared" si="7"/>
        <v>128976</v>
      </c>
      <c r="K76" s="6">
        <f t="shared" si="7"/>
        <v>121552</v>
      </c>
      <c r="L76" s="6">
        <f t="shared" si="7"/>
        <v>121674</v>
      </c>
      <c r="M76" s="6">
        <f t="shared" si="7"/>
        <v>126053</v>
      </c>
      <c r="N76" s="6">
        <f t="shared" si="7"/>
        <v>118296</v>
      </c>
      <c r="O76" s="6">
        <f t="shared" si="7"/>
        <v>123562</v>
      </c>
      <c r="P76" s="6">
        <f t="shared" si="7"/>
        <v>121365</v>
      </c>
      <c r="Q76" s="6">
        <f t="shared" si="7"/>
        <v>127341</v>
      </c>
      <c r="R76" s="6">
        <f t="shared" si="7"/>
        <v>138407</v>
      </c>
      <c r="S76" s="6">
        <f t="shared" si="7"/>
        <v>103706</v>
      </c>
      <c r="T76" s="6">
        <f t="shared" si="7"/>
        <v>110953</v>
      </c>
      <c r="U76" s="6">
        <f t="shared" si="7"/>
        <v>109871</v>
      </c>
      <c r="V76" s="6">
        <f t="shared" si="7"/>
        <v>106933</v>
      </c>
      <c r="W76" s="6">
        <f t="shared" si="7"/>
        <v>106942</v>
      </c>
      <c r="X76" s="6">
        <f t="shared" si="7"/>
        <v>117074</v>
      </c>
      <c r="Y76" s="6">
        <f t="shared" si="7"/>
        <v>121922</v>
      </c>
      <c r="Z76" s="6">
        <f t="shared" si="7"/>
        <v>117770</v>
      </c>
      <c r="AA76" s="6">
        <f t="shared" si="7"/>
        <v>123785</v>
      </c>
      <c r="AB76" s="6">
        <f t="shared" si="7"/>
        <v>111314</v>
      </c>
      <c r="AC76" s="6">
        <f t="shared" si="7"/>
        <v>123206</v>
      </c>
      <c r="AD76" s="6">
        <f t="shared" si="7"/>
        <v>122073</v>
      </c>
      <c r="AE76" s="6">
        <f t="shared" si="7"/>
        <v>96967</v>
      </c>
      <c r="AF76" s="6">
        <f t="shared" si="7"/>
        <v>101485</v>
      </c>
      <c r="AG76" s="6">
        <f t="shared" si="7"/>
        <v>91502</v>
      </c>
      <c r="AH76" s="6">
        <f t="shared" si="7"/>
        <v>92884</v>
      </c>
      <c r="AI76" s="6">
        <f t="shared" si="7"/>
        <v>91569</v>
      </c>
      <c r="AJ76" s="6">
        <f t="shared" si="7"/>
        <v>94790</v>
      </c>
      <c r="AK76" s="6">
        <f t="shared" si="7"/>
        <v>95629</v>
      </c>
      <c r="AL76" s="6">
        <f t="shared" si="7"/>
        <v>91219</v>
      </c>
      <c r="AM76" s="6">
        <f t="shared" si="7"/>
        <v>96307</v>
      </c>
      <c r="AN76" s="6">
        <f t="shared" si="7"/>
        <v>91693</v>
      </c>
      <c r="AO76" s="6">
        <f t="shared" si="7"/>
        <v>104334</v>
      </c>
      <c r="AP76" s="6">
        <f t="shared" si="7"/>
        <v>110453</v>
      </c>
      <c r="AQ76" s="6">
        <f t="shared" si="7"/>
        <v>82563</v>
      </c>
      <c r="AR76" s="6">
        <f t="shared" si="7"/>
        <v>92880</v>
      </c>
      <c r="AS76" s="6">
        <f t="shared" si="7"/>
        <v>92284</v>
      </c>
      <c r="AT76" s="6">
        <f t="shared" si="7"/>
        <v>89724</v>
      </c>
      <c r="AU76" s="6">
        <f t="shared" si="7"/>
        <v>90498</v>
      </c>
      <c r="AV76" s="6">
        <f t="shared" si="7"/>
        <v>91833</v>
      </c>
      <c r="AW76" s="6">
        <f t="shared" si="7"/>
        <v>97349</v>
      </c>
      <c r="AX76" s="6">
        <f t="shared" si="7"/>
        <v>86513</v>
      </c>
      <c r="AY76" s="6">
        <f t="shared" si="7"/>
        <v>93214</v>
      </c>
      <c r="AZ76" s="6">
        <f t="shared" si="7"/>
        <v>94996</v>
      </c>
      <c r="BA76" s="6">
        <f t="shared" si="7"/>
        <v>109286</v>
      </c>
      <c r="BB76" s="6">
        <f t="shared" si="7"/>
        <v>110693</v>
      </c>
      <c r="BC76" s="6">
        <f t="shared" si="7"/>
        <v>87220</v>
      </c>
      <c r="BD76" s="6">
        <f t="shared" si="7"/>
        <v>101601</v>
      </c>
      <c r="BE76" s="6">
        <f t="shared" si="7"/>
        <v>94072</v>
      </c>
      <c r="BF76" s="6">
        <f t="shared" si="7"/>
        <v>97645</v>
      </c>
      <c r="BG76" s="6">
        <f t="shared" si="7"/>
        <v>95810</v>
      </c>
      <c r="BH76" s="6">
        <f t="shared" si="7"/>
        <v>97044</v>
      </c>
      <c r="BI76" s="6">
        <f t="shared" si="7"/>
        <v>97142</v>
      </c>
      <c r="BJ76" s="6">
        <f t="shared" si="7"/>
        <v>91356</v>
      </c>
      <c r="BK76" s="6">
        <f t="shared" si="7"/>
        <v>99182</v>
      </c>
      <c r="BL76" s="6">
        <f t="shared" si="7"/>
        <v>99204</v>
      </c>
      <c r="BM76" s="6">
        <f t="shared" si="7"/>
        <v>110471</v>
      </c>
    </row>
    <row r="77" spans="1:65" x14ac:dyDescent="0.25">
      <c r="A77" s="1">
        <v>87</v>
      </c>
      <c r="B77" s="1">
        <f>VLOOKUP(E77,'[2]Peajes (1)'!$A:$D,4,0)</f>
        <v>3801</v>
      </c>
      <c r="C77" s="3" t="s">
        <v>121</v>
      </c>
      <c r="D77" s="3" t="s">
        <v>122</v>
      </c>
      <c r="E77" s="3" t="s">
        <v>125</v>
      </c>
      <c r="F77" s="6">
        <v>195948</v>
      </c>
      <c r="G77" s="6">
        <v>123681</v>
      </c>
      <c r="H77" s="6">
        <v>128312</v>
      </c>
      <c r="I77" s="6">
        <v>153086</v>
      </c>
      <c r="J77" s="6">
        <v>129818</v>
      </c>
      <c r="K77" s="6">
        <v>142410</v>
      </c>
      <c r="L77" s="6">
        <v>148382</v>
      </c>
      <c r="M77" s="6">
        <v>134024</v>
      </c>
      <c r="N77" s="6">
        <v>127899</v>
      </c>
      <c r="O77" s="6">
        <v>143541</v>
      </c>
      <c r="P77" s="6">
        <v>133019</v>
      </c>
      <c r="Q77" s="6">
        <v>160678</v>
      </c>
      <c r="R77" s="6">
        <v>189513</v>
      </c>
      <c r="S77" s="6">
        <v>128110</v>
      </c>
      <c r="T77" s="6">
        <v>143148</v>
      </c>
      <c r="U77" s="6">
        <v>141791</v>
      </c>
      <c r="V77" s="6">
        <v>134883</v>
      </c>
      <c r="W77" s="6">
        <v>140756</v>
      </c>
      <c r="X77" s="6">
        <v>152614</v>
      </c>
      <c r="Y77" s="6">
        <v>144198</v>
      </c>
      <c r="Z77" s="6">
        <v>137129</v>
      </c>
      <c r="AA77" s="6">
        <v>154825</v>
      </c>
      <c r="AB77" s="6">
        <v>146955</v>
      </c>
      <c r="AC77" s="6">
        <v>176781</v>
      </c>
      <c r="AD77" s="6">
        <v>211722</v>
      </c>
      <c r="AE77" s="6">
        <v>132343</v>
      </c>
      <c r="AF77" s="6">
        <v>155130</v>
      </c>
      <c r="AG77" s="6">
        <v>133243</v>
      </c>
      <c r="AH77" s="6">
        <v>129142</v>
      </c>
      <c r="AI77" s="6">
        <v>137178</v>
      </c>
      <c r="AJ77" s="6">
        <v>130107</v>
      </c>
      <c r="AK77" s="6">
        <v>143952</v>
      </c>
      <c r="AL77" s="6">
        <v>135997</v>
      </c>
      <c r="AM77" s="6">
        <v>150764</v>
      </c>
      <c r="AN77" s="6">
        <v>146362</v>
      </c>
      <c r="AO77" s="6">
        <v>175567</v>
      </c>
      <c r="AP77" s="6">
        <v>209067</v>
      </c>
      <c r="AQ77" s="6">
        <v>129410</v>
      </c>
      <c r="AR77" s="6">
        <v>145888</v>
      </c>
      <c r="AS77" s="6">
        <v>160366</v>
      </c>
      <c r="AT77" s="6">
        <v>148551</v>
      </c>
      <c r="AU77" s="6">
        <v>155728</v>
      </c>
      <c r="AV77" s="6">
        <v>145959</v>
      </c>
      <c r="AW77" s="6">
        <v>140596</v>
      </c>
      <c r="AX77" s="6">
        <v>137617</v>
      </c>
      <c r="AY77" s="6">
        <v>150350</v>
      </c>
      <c r="AZ77" s="6">
        <v>142897</v>
      </c>
      <c r="BA77" s="6">
        <v>179712</v>
      </c>
      <c r="BB77" s="6">
        <v>215439</v>
      </c>
      <c r="BC77" s="6">
        <v>131095</v>
      </c>
      <c r="BD77" s="6">
        <v>161002</v>
      </c>
      <c r="BE77" s="6">
        <v>151813</v>
      </c>
      <c r="BF77" s="6">
        <v>150669</v>
      </c>
      <c r="BG77" s="6">
        <v>164078</v>
      </c>
      <c r="BH77" s="6">
        <v>164480</v>
      </c>
      <c r="BI77" s="6">
        <v>154629</v>
      </c>
      <c r="BJ77" s="6">
        <v>147618</v>
      </c>
      <c r="BK77" s="6">
        <v>160476</v>
      </c>
      <c r="BL77" s="6">
        <v>153004</v>
      </c>
      <c r="BM77" s="6">
        <v>190995</v>
      </c>
    </row>
    <row r="78" spans="1:65" s="10" customFormat="1" x14ac:dyDescent="0.25">
      <c r="A78" s="1">
        <v>48</v>
      </c>
      <c r="B78" s="1">
        <f>VLOOKUP(E78,'[2]Peajes (1)'!$A:$D,4,0)</f>
        <v>3969</v>
      </c>
      <c r="C78" s="3" t="s">
        <v>70</v>
      </c>
      <c r="D78" s="3" t="s">
        <v>71</v>
      </c>
      <c r="E78" s="3" t="s">
        <v>73</v>
      </c>
      <c r="F78" s="6">
        <v>456669</v>
      </c>
      <c r="G78" s="6">
        <v>409414</v>
      </c>
      <c r="H78" s="6">
        <v>436006</v>
      </c>
      <c r="I78" s="6">
        <v>417534</v>
      </c>
      <c r="J78" s="6">
        <v>438178</v>
      </c>
      <c r="K78" s="6">
        <v>402241</v>
      </c>
      <c r="L78" s="6">
        <v>441618</v>
      </c>
      <c r="M78" s="6">
        <v>440692</v>
      </c>
      <c r="N78" s="6">
        <v>428025</v>
      </c>
      <c r="O78" s="6">
        <v>435110</v>
      </c>
      <c r="P78" s="6">
        <v>407642</v>
      </c>
      <c r="Q78" s="6">
        <v>444083</v>
      </c>
      <c r="R78" s="6">
        <v>390908</v>
      </c>
      <c r="S78" s="6">
        <v>382347</v>
      </c>
      <c r="T78" s="6">
        <v>429535</v>
      </c>
      <c r="U78" s="6">
        <v>398205</v>
      </c>
      <c r="V78" s="6">
        <v>426610</v>
      </c>
      <c r="W78" s="6">
        <v>399516</v>
      </c>
      <c r="X78" s="6">
        <v>440657</v>
      </c>
      <c r="Y78" s="6">
        <v>408166</v>
      </c>
      <c r="Z78" s="6">
        <v>364297</v>
      </c>
      <c r="AA78" s="6">
        <v>371015</v>
      </c>
      <c r="AB78" s="6">
        <v>357246</v>
      </c>
      <c r="AC78" s="6">
        <v>395896</v>
      </c>
      <c r="AD78" s="6">
        <v>332881</v>
      </c>
      <c r="AE78" s="6">
        <v>343622</v>
      </c>
      <c r="AF78" s="6">
        <v>355894</v>
      </c>
      <c r="AG78" s="6">
        <v>366972</v>
      </c>
      <c r="AH78" s="6">
        <v>374540</v>
      </c>
      <c r="AI78" s="6">
        <v>352280</v>
      </c>
      <c r="AJ78" s="6">
        <v>381386</v>
      </c>
      <c r="AK78" s="6">
        <v>418040</v>
      </c>
      <c r="AL78" s="6">
        <v>457070</v>
      </c>
      <c r="AM78" s="6">
        <v>453551</v>
      </c>
      <c r="AN78" s="6">
        <v>431108</v>
      </c>
      <c r="AO78" s="6">
        <v>462565</v>
      </c>
      <c r="AP78" s="6">
        <v>408867</v>
      </c>
      <c r="AQ78" s="6">
        <v>408532</v>
      </c>
      <c r="AR78" s="6">
        <v>458477</v>
      </c>
      <c r="AS78" s="6">
        <v>410362</v>
      </c>
      <c r="AT78" s="6">
        <v>433473</v>
      </c>
      <c r="AU78" s="6">
        <v>420301</v>
      </c>
      <c r="AV78" s="6">
        <v>447681</v>
      </c>
      <c r="AW78" s="6">
        <v>472724</v>
      </c>
      <c r="AX78" s="6">
        <v>468029</v>
      </c>
      <c r="AY78" s="6">
        <v>461931</v>
      </c>
      <c r="AZ78" s="6">
        <v>469421</v>
      </c>
      <c r="BA78" s="6">
        <v>530389</v>
      </c>
      <c r="BB78" s="6">
        <v>454683</v>
      </c>
      <c r="BC78" s="6">
        <v>454425</v>
      </c>
      <c r="BD78" s="6">
        <v>487234</v>
      </c>
      <c r="BE78" s="6">
        <v>498338</v>
      </c>
      <c r="BF78" s="6">
        <v>511312</v>
      </c>
      <c r="BG78" s="6">
        <v>486228</v>
      </c>
      <c r="BH78" s="6">
        <v>515520</v>
      </c>
      <c r="BI78" s="6">
        <v>534735</v>
      </c>
      <c r="BJ78" s="6">
        <v>544885</v>
      </c>
      <c r="BK78" s="6">
        <v>552355</v>
      </c>
      <c r="BL78" s="6">
        <v>541036</v>
      </c>
      <c r="BM78" s="6">
        <v>611385</v>
      </c>
    </row>
    <row r="79" spans="1:65" s="10" customFormat="1" x14ac:dyDescent="0.25">
      <c r="A79" s="1">
        <v>97</v>
      </c>
      <c r="B79" s="1">
        <f>VLOOKUP(E79,'[2]Peajes (1)'!$A:$D,4,0)</f>
        <v>3811</v>
      </c>
      <c r="C79" s="3" t="s">
        <v>143</v>
      </c>
      <c r="D79" s="3" t="s">
        <v>144</v>
      </c>
      <c r="E79" s="3" t="s">
        <v>145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17317</v>
      </c>
      <c r="Q79" s="6">
        <v>22638</v>
      </c>
      <c r="R79" s="6">
        <v>25564</v>
      </c>
      <c r="S79" s="6">
        <v>15952</v>
      </c>
      <c r="T79" s="6">
        <v>21701</v>
      </c>
      <c r="U79" s="6">
        <v>20671</v>
      </c>
      <c r="V79" s="6">
        <v>23598</v>
      </c>
      <c r="W79" s="6">
        <v>20110</v>
      </c>
      <c r="X79" s="6">
        <v>19640</v>
      </c>
      <c r="Y79" s="6">
        <v>20717</v>
      </c>
      <c r="Z79" s="6">
        <v>18108</v>
      </c>
      <c r="AA79" s="6">
        <v>22311</v>
      </c>
      <c r="AB79" s="6">
        <v>21731</v>
      </c>
      <c r="AC79" s="6">
        <v>27822</v>
      </c>
      <c r="AD79" s="6">
        <v>29014</v>
      </c>
      <c r="AE79" s="6">
        <v>22854</v>
      </c>
      <c r="AF79" s="6">
        <v>35457</v>
      </c>
      <c r="AG79" s="6">
        <v>32762</v>
      </c>
      <c r="AH79" s="6">
        <v>31673</v>
      </c>
      <c r="AI79" s="6">
        <v>37547</v>
      </c>
      <c r="AJ79" s="6">
        <v>41692</v>
      </c>
      <c r="AK79" s="6">
        <v>61968</v>
      </c>
      <c r="AL79" s="6">
        <v>49057</v>
      </c>
      <c r="AM79" s="6">
        <v>49555</v>
      </c>
      <c r="AN79" s="6">
        <v>29848</v>
      </c>
      <c r="AO79" s="6">
        <v>30365</v>
      </c>
      <c r="AP79" s="6">
        <v>39817</v>
      </c>
      <c r="AQ79" s="6">
        <v>52119</v>
      </c>
      <c r="AR79" s="6">
        <v>36327</v>
      </c>
      <c r="AS79" s="6">
        <v>36043</v>
      </c>
      <c r="AT79" s="6">
        <v>32452</v>
      </c>
      <c r="AU79" s="6">
        <v>36229</v>
      </c>
      <c r="AV79" s="6">
        <v>33597</v>
      </c>
      <c r="AW79" s="6">
        <v>33522</v>
      </c>
      <c r="AX79" s="6">
        <v>31612</v>
      </c>
      <c r="AY79" s="6">
        <v>33708</v>
      </c>
      <c r="AZ79" s="6">
        <v>31338</v>
      </c>
      <c r="BA79" s="6">
        <v>37078</v>
      </c>
      <c r="BB79" s="6">
        <v>39843</v>
      </c>
      <c r="BC79" s="6">
        <v>29903</v>
      </c>
      <c r="BD79" s="6">
        <v>36662</v>
      </c>
      <c r="BE79" s="6">
        <v>34652</v>
      </c>
      <c r="BF79" s="6">
        <v>52407</v>
      </c>
      <c r="BG79" s="6">
        <v>44221</v>
      </c>
      <c r="BH79" s="6">
        <v>42558</v>
      </c>
      <c r="BI79" s="6">
        <v>47553</v>
      </c>
      <c r="BJ79" s="6">
        <v>55171</v>
      </c>
      <c r="BK79" s="6">
        <v>37926</v>
      </c>
      <c r="BL79" s="6">
        <v>39985</v>
      </c>
      <c r="BM79" s="6">
        <v>42729</v>
      </c>
    </row>
    <row r="80" spans="1:65" x14ac:dyDescent="0.25">
      <c r="A80" s="1">
        <v>58</v>
      </c>
      <c r="B80" s="1">
        <f>VLOOKUP(E80,'[2]Peajes (1)'!$A:$D,4,0)</f>
        <v>3867</v>
      </c>
      <c r="C80" s="3" t="s">
        <v>84</v>
      </c>
      <c r="D80" s="3" t="s">
        <v>85</v>
      </c>
      <c r="E80" s="3" t="s">
        <v>87</v>
      </c>
      <c r="F80" s="6">
        <v>329068</v>
      </c>
      <c r="G80" s="6">
        <v>284113</v>
      </c>
      <c r="H80" s="6">
        <v>302508</v>
      </c>
      <c r="I80" s="6">
        <v>308260</v>
      </c>
      <c r="J80" s="6">
        <v>307489</v>
      </c>
      <c r="K80" s="6">
        <v>291959</v>
      </c>
      <c r="L80" s="6">
        <v>316996</v>
      </c>
      <c r="M80" s="6">
        <v>308293</v>
      </c>
      <c r="N80" s="6">
        <v>306935</v>
      </c>
      <c r="O80" s="6">
        <v>314954</v>
      </c>
      <c r="P80" s="6">
        <v>300194</v>
      </c>
      <c r="Q80" s="6">
        <v>343311</v>
      </c>
      <c r="R80" s="6">
        <v>325950</v>
      </c>
      <c r="S80" s="6">
        <v>272496</v>
      </c>
      <c r="T80" s="6">
        <v>304510</v>
      </c>
      <c r="U80" s="6">
        <v>300642</v>
      </c>
      <c r="V80" s="6">
        <v>301183</v>
      </c>
      <c r="W80" s="6">
        <v>304893</v>
      </c>
      <c r="X80" s="6">
        <v>322888</v>
      </c>
      <c r="Y80" s="6">
        <v>314011</v>
      </c>
      <c r="Z80" s="6">
        <v>310681</v>
      </c>
      <c r="AA80" s="6">
        <v>326952</v>
      </c>
      <c r="AB80" s="6">
        <v>311328</v>
      </c>
      <c r="AC80" s="6">
        <v>359211</v>
      </c>
      <c r="AD80" s="6">
        <v>338197</v>
      </c>
      <c r="AE80" s="6">
        <v>293907</v>
      </c>
      <c r="AF80" s="6">
        <v>322998</v>
      </c>
      <c r="AG80" s="6">
        <v>297445</v>
      </c>
      <c r="AH80" s="6">
        <v>307021</v>
      </c>
      <c r="AI80" s="6">
        <v>303632</v>
      </c>
      <c r="AJ80" s="6">
        <v>311663</v>
      </c>
      <c r="AK80" s="6">
        <v>314944</v>
      </c>
      <c r="AL80" s="6">
        <v>310695</v>
      </c>
      <c r="AM80" s="6">
        <v>319818</v>
      </c>
      <c r="AN80" s="6">
        <v>314431</v>
      </c>
      <c r="AO80" s="6">
        <v>361104</v>
      </c>
      <c r="AP80" s="6">
        <v>333838</v>
      </c>
      <c r="AQ80" s="6">
        <v>275860</v>
      </c>
      <c r="AR80" s="6">
        <v>305780</v>
      </c>
      <c r="AS80" s="6">
        <v>301471</v>
      </c>
      <c r="AT80" s="6">
        <v>300136</v>
      </c>
      <c r="AU80" s="6">
        <v>299089</v>
      </c>
      <c r="AV80" s="6">
        <v>312187</v>
      </c>
      <c r="AW80" s="6">
        <v>308815</v>
      </c>
      <c r="AX80" s="6">
        <v>304357</v>
      </c>
      <c r="AY80" s="6">
        <v>312779</v>
      </c>
      <c r="AZ80" s="6">
        <v>310982</v>
      </c>
      <c r="BA80" s="6">
        <v>359539</v>
      </c>
      <c r="BB80" s="6">
        <v>333117</v>
      </c>
      <c r="BC80" s="6">
        <v>272515</v>
      </c>
      <c r="BD80" s="6">
        <v>310113</v>
      </c>
      <c r="BE80" s="6">
        <v>297108</v>
      </c>
      <c r="BF80" s="6">
        <v>295749</v>
      </c>
      <c r="BG80" s="6">
        <v>287894</v>
      </c>
      <c r="BH80" s="6">
        <v>308496</v>
      </c>
      <c r="BI80" s="6">
        <v>306438</v>
      </c>
      <c r="BJ80" s="6">
        <v>299307</v>
      </c>
      <c r="BK80" s="6">
        <v>314521</v>
      </c>
      <c r="BL80" s="6">
        <v>302765</v>
      </c>
      <c r="BM80" s="6">
        <v>349194</v>
      </c>
    </row>
    <row r="81" spans="1:65" x14ac:dyDescent="0.25">
      <c r="A81" s="1">
        <v>22</v>
      </c>
      <c r="B81" s="1">
        <f>VLOOKUP(E81,'[2]Peajes (1)'!$A:$D,4,0)</f>
        <v>3932</v>
      </c>
      <c r="C81" s="3" t="s">
        <v>31</v>
      </c>
      <c r="D81" s="3" t="s">
        <v>32</v>
      </c>
      <c r="E81" s="3" t="s">
        <v>35</v>
      </c>
      <c r="F81" s="6">
        <v>224152</v>
      </c>
      <c r="G81" s="6">
        <v>207657</v>
      </c>
      <c r="H81" s="6">
        <v>234966</v>
      </c>
      <c r="I81" s="6">
        <v>223926</v>
      </c>
      <c r="J81" s="6">
        <v>231158</v>
      </c>
      <c r="K81" s="6">
        <v>229897</v>
      </c>
      <c r="L81" s="6">
        <v>231250</v>
      </c>
      <c r="M81" s="6">
        <v>255864</v>
      </c>
      <c r="N81" s="6">
        <v>232708</v>
      </c>
      <c r="O81" s="6">
        <v>241738</v>
      </c>
      <c r="P81" s="6">
        <v>246424</v>
      </c>
      <c r="Q81" s="6">
        <v>282699</v>
      </c>
      <c r="R81" s="6">
        <v>254261</v>
      </c>
      <c r="S81" s="6">
        <v>234757</v>
      </c>
      <c r="T81" s="6">
        <v>266074</v>
      </c>
      <c r="U81" s="6">
        <v>247164</v>
      </c>
      <c r="V81" s="6">
        <v>271856</v>
      </c>
      <c r="W81" s="6">
        <v>261998</v>
      </c>
      <c r="X81" s="6">
        <v>270228</v>
      </c>
      <c r="Y81" s="6">
        <v>282670</v>
      </c>
      <c r="Z81" s="6">
        <v>262361</v>
      </c>
      <c r="AA81" s="6">
        <v>263503</v>
      </c>
      <c r="AB81" s="6">
        <v>270570</v>
      </c>
      <c r="AC81" s="6">
        <v>310445</v>
      </c>
      <c r="AD81" s="6">
        <v>276928</v>
      </c>
      <c r="AE81" s="6">
        <v>262642</v>
      </c>
      <c r="AF81" s="6">
        <v>282694</v>
      </c>
      <c r="AG81" s="6">
        <v>265708</v>
      </c>
      <c r="AH81" s="6">
        <v>286889</v>
      </c>
      <c r="AI81" s="6">
        <v>277802</v>
      </c>
      <c r="AJ81" s="6">
        <v>293479</v>
      </c>
      <c r="AK81" s="6">
        <v>292965</v>
      </c>
      <c r="AL81" s="6">
        <v>281103</v>
      </c>
      <c r="AM81" s="6">
        <v>298662</v>
      </c>
      <c r="AN81" s="6">
        <v>300545</v>
      </c>
      <c r="AO81" s="6">
        <v>338457</v>
      </c>
      <c r="AP81" s="6">
        <v>340993</v>
      </c>
      <c r="AQ81" s="6">
        <v>272813</v>
      </c>
      <c r="AR81" s="6">
        <v>292050</v>
      </c>
      <c r="AS81" s="6">
        <v>287603</v>
      </c>
      <c r="AT81" s="6">
        <v>297370</v>
      </c>
      <c r="AU81" s="6">
        <v>290885</v>
      </c>
      <c r="AV81" s="6">
        <v>304808</v>
      </c>
      <c r="AW81" s="6">
        <v>305414</v>
      </c>
      <c r="AX81" s="6">
        <v>284640</v>
      </c>
      <c r="AY81" s="6">
        <v>297134</v>
      </c>
      <c r="AZ81" s="6">
        <v>299385</v>
      </c>
      <c r="BA81" s="6">
        <v>335531</v>
      </c>
      <c r="BB81" s="6">
        <v>297229</v>
      </c>
      <c r="BC81" s="6">
        <v>277374</v>
      </c>
      <c r="BD81" s="6">
        <v>310213</v>
      </c>
      <c r="BE81" s="6">
        <v>302718</v>
      </c>
      <c r="BF81" s="6">
        <v>309656</v>
      </c>
      <c r="BG81" s="6">
        <v>308317</v>
      </c>
      <c r="BH81" s="6">
        <v>320236</v>
      </c>
      <c r="BI81" s="6">
        <v>335476</v>
      </c>
      <c r="BJ81" s="6">
        <v>320596</v>
      </c>
      <c r="BK81" s="6">
        <v>316377</v>
      </c>
      <c r="BL81" s="6">
        <v>323582</v>
      </c>
      <c r="BM81" s="6">
        <v>354137</v>
      </c>
    </row>
    <row r="82" spans="1:65" x14ac:dyDescent="0.25">
      <c r="A82" s="1">
        <v>93</v>
      </c>
      <c r="B82" s="1">
        <f>VLOOKUP(E82,'[2]Peajes (1)'!$A:$D,4,0)</f>
        <v>7205</v>
      </c>
      <c r="C82" s="3" t="s">
        <v>133</v>
      </c>
      <c r="D82" s="3" t="s">
        <v>134</v>
      </c>
      <c r="E82" s="3" t="s">
        <v>135</v>
      </c>
      <c r="F82" s="6">
        <v>232741</v>
      </c>
      <c r="G82" s="6">
        <v>207422</v>
      </c>
      <c r="H82" s="6">
        <v>232835</v>
      </c>
      <c r="I82" s="6">
        <v>226675</v>
      </c>
      <c r="J82" s="6">
        <v>235150</v>
      </c>
      <c r="K82" s="6">
        <v>236073</v>
      </c>
      <c r="L82" s="6">
        <v>242921</v>
      </c>
      <c r="M82" s="6">
        <v>242988</v>
      </c>
      <c r="N82" s="6">
        <v>245395</v>
      </c>
      <c r="O82" s="6">
        <v>253630</v>
      </c>
      <c r="P82" s="6">
        <v>231783</v>
      </c>
      <c r="Q82" s="6">
        <v>263385</v>
      </c>
      <c r="R82" s="6">
        <v>250221</v>
      </c>
      <c r="S82" s="6">
        <v>215457</v>
      </c>
      <c r="T82" s="6">
        <v>242272</v>
      </c>
      <c r="U82" s="6">
        <v>234984</v>
      </c>
      <c r="V82" s="6">
        <v>249579</v>
      </c>
      <c r="W82" s="6">
        <v>244125</v>
      </c>
      <c r="X82" s="6">
        <v>256340</v>
      </c>
      <c r="Y82" s="6">
        <v>251014</v>
      </c>
      <c r="Z82" s="6">
        <v>239764</v>
      </c>
      <c r="AA82" s="6">
        <v>250020</v>
      </c>
      <c r="AB82" s="6">
        <v>241130</v>
      </c>
      <c r="AC82" s="6">
        <v>262669</v>
      </c>
      <c r="AD82" s="6">
        <v>248170</v>
      </c>
      <c r="AE82" s="6">
        <v>223071</v>
      </c>
      <c r="AF82" s="6">
        <v>238804</v>
      </c>
      <c r="AG82" s="6">
        <v>135135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</row>
    <row r="83" spans="1:65" x14ac:dyDescent="0.25">
      <c r="A83" s="8">
        <v>139</v>
      </c>
      <c r="B83" s="1">
        <f>VLOOKUP(E83,'[2]Peajes (1)'!$A:$D,4,0)</f>
        <v>3980</v>
      </c>
      <c r="C83" s="8" t="s">
        <v>203</v>
      </c>
      <c r="D83" s="8" t="s">
        <v>204</v>
      </c>
      <c r="E83" s="8" t="s">
        <v>162</v>
      </c>
      <c r="F83" s="6">
        <v>151177</v>
      </c>
      <c r="G83" s="6">
        <v>136485</v>
      </c>
      <c r="H83" s="6">
        <v>146008</v>
      </c>
      <c r="I83" s="6">
        <v>152327</v>
      </c>
      <c r="J83" s="6">
        <v>160136</v>
      </c>
      <c r="K83" s="6">
        <v>145704</v>
      </c>
      <c r="L83" s="6">
        <v>164176</v>
      </c>
      <c r="M83" s="6">
        <v>156304</v>
      </c>
      <c r="N83" s="6">
        <v>150290</v>
      </c>
      <c r="O83" s="6">
        <v>154635</v>
      </c>
      <c r="P83" s="6">
        <v>150942</v>
      </c>
      <c r="Q83" s="6">
        <v>151291</v>
      </c>
      <c r="R83" s="6">
        <v>166478</v>
      </c>
      <c r="S83" s="6">
        <v>144982</v>
      </c>
      <c r="T83" s="6">
        <v>144505</v>
      </c>
      <c r="U83" s="6">
        <v>159543</v>
      </c>
      <c r="V83" s="6">
        <v>158588</v>
      </c>
      <c r="W83" s="6">
        <v>149722</v>
      </c>
      <c r="X83" s="6">
        <v>158109</v>
      </c>
      <c r="Y83" s="6">
        <v>158518</v>
      </c>
      <c r="Z83" s="6">
        <v>160976</v>
      </c>
      <c r="AA83" s="6">
        <v>172833</v>
      </c>
      <c r="AB83" s="6">
        <v>153615</v>
      </c>
      <c r="AC83" s="6">
        <v>159834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114614</v>
      </c>
      <c r="AN83" s="6">
        <v>159694</v>
      </c>
      <c r="AO83" s="6">
        <v>162914</v>
      </c>
      <c r="AP83" s="6">
        <v>139524</v>
      </c>
      <c r="AQ83" s="6">
        <v>147541</v>
      </c>
      <c r="AR83" s="6">
        <v>141443</v>
      </c>
      <c r="AS83" s="6">
        <v>158453</v>
      </c>
      <c r="AT83" s="6">
        <v>91961</v>
      </c>
      <c r="AU83" s="6">
        <v>171890</v>
      </c>
      <c r="AV83" s="6">
        <v>172519</v>
      </c>
      <c r="AW83" s="6">
        <v>165988</v>
      </c>
      <c r="AX83" s="6">
        <v>158797</v>
      </c>
      <c r="AY83" s="6">
        <v>159868</v>
      </c>
      <c r="AZ83" s="6">
        <v>153408</v>
      </c>
      <c r="BA83" s="6">
        <v>160818</v>
      </c>
      <c r="BB83" s="6">
        <v>168777</v>
      </c>
      <c r="BC83" s="6">
        <v>141513</v>
      </c>
      <c r="BD83" s="6">
        <v>160978</v>
      </c>
      <c r="BE83" s="6">
        <v>152073</v>
      </c>
      <c r="BF83" s="6">
        <v>160946</v>
      </c>
      <c r="BG83" s="6">
        <v>165199</v>
      </c>
      <c r="BH83" s="6">
        <v>176492</v>
      </c>
      <c r="BI83" s="6">
        <v>190031</v>
      </c>
      <c r="BJ83" s="6">
        <v>173616</v>
      </c>
      <c r="BK83" s="6">
        <v>178367</v>
      </c>
      <c r="BL83" s="6">
        <v>166294</v>
      </c>
      <c r="BM83" s="6">
        <v>176831</v>
      </c>
    </row>
    <row r="84" spans="1:65" x14ac:dyDescent="0.25">
      <c r="A84" s="1">
        <v>49</v>
      </c>
      <c r="B84" s="1">
        <f>VLOOKUP(E84,'[2]Peajes (1)'!$A:$D,4,0)</f>
        <v>3930</v>
      </c>
      <c r="C84" s="3" t="s">
        <v>70</v>
      </c>
      <c r="D84" s="3" t="s">
        <v>71</v>
      </c>
      <c r="E84" s="3" t="s">
        <v>74</v>
      </c>
      <c r="F84" s="6">
        <v>198603</v>
      </c>
      <c r="G84" s="6">
        <v>152345</v>
      </c>
      <c r="H84" s="6">
        <v>168394</v>
      </c>
      <c r="I84" s="6">
        <v>181611</v>
      </c>
      <c r="J84" s="6">
        <v>159636</v>
      </c>
      <c r="K84" s="6">
        <v>168571</v>
      </c>
      <c r="L84" s="6">
        <v>166557</v>
      </c>
      <c r="M84" s="6">
        <v>178224</v>
      </c>
      <c r="N84" s="6">
        <v>158114</v>
      </c>
      <c r="O84" s="6">
        <v>173525</v>
      </c>
      <c r="P84" s="6">
        <v>160465</v>
      </c>
      <c r="Q84" s="6">
        <v>175325</v>
      </c>
      <c r="R84" s="6">
        <v>185054</v>
      </c>
      <c r="S84" s="6">
        <v>144541</v>
      </c>
      <c r="T84" s="6">
        <v>164723</v>
      </c>
      <c r="U84" s="6">
        <v>170633</v>
      </c>
      <c r="V84" s="6">
        <v>176421</v>
      </c>
      <c r="W84" s="6">
        <v>171435</v>
      </c>
      <c r="X84" s="6">
        <v>169359</v>
      </c>
      <c r="Y84" s="6">
        <v>169520</v>
      </c>
      <c r="Z84" s="6">
        <v>148883</v>
      </c>
      <c r="AA84" s="6">
        <v>167847</v>
      </c>
      <c r="AB84" s="6">
        <v>161037</v>
      </c>
      <c r="AC84" s="6">
        <v>185796</v>
      </c>
      <c r="AD84" s="6">
        <v>190052</v>
      </c>
      <c r="AE84" s="6">
        <v>148877</v>
      </c>
      <c r="AF84" s="6">
        <v>183403</v>
      </c>
      <c r="AG84" s="6">
        <v>151553</v>
      </c>
      <c r="AH84" s="6">
        <v>172970</v>
      </c>
      <c r="AI84" s="6">
        <v>164165</v>
      </c>
      <c r="AJ84" s="6">
        <v>174848</v>
      </c>
      <c r="AK84" s="6">
        <v>181082</v>
      </c>
      <c r="AL84" s="6">
        <v>160725</v>
      </c>
      <c r="AM84" s="6">
        <v>177569</v>
      </c>
      <c r="AN84" s="6">
        <v>164662</v>
      </c>
      <c r="AO84" s="6">
        <v>187561</v>
      </c>
      <c r="AP84" s="6">
        <v>192939</v>
      </c>
      <c r="AQ84" s="6">
        <v>150722</v>
      </c>
      <c r="AR84" s="6">
        <v>164719</v>
      </c>
      <c r="AS84" s="6">
        <v>184732</v>
      </c>
      <c r="AT84" s="6">
        <v>172340</v>
      </c>
      <c r="AU84" s="6">
        <v>177325</v>
      </c>
      <c r="AV84" s="6">
        <v>185930</v>
      </c>
      <c r="AW84" s="6">
        <v>183988</v>
      </c>
      <c r="AX84" s="6">
        <v>166387</v>
      </c>
      <c r="AY84" s="6">
        <v>184860</v>
      </c>
      <c r="AZ84" s="6">
        <v>176925</v>
      </c>
      <c r="BA84" s="6">
        <v>197980</v>
      </c>
      <c r="BB84" s="6">
        <v>207255</v>
      </c>
      <c r="BC84" s="6">
        <v>152652</v>
      </c>
      <c r="BD84" s="6">
        <v>198849</v>
      </c>
      <c r="BE84" s="6">
        <v>173194</v>
      </c>
      <c r="BF84" s="6">
        <v>175876</v>
      </c>
      <c r="BG84" s="6">
        <v>186892</v>
      </c>
      <c r="BH84" s="6">
        <v>203968</v>
      </c>
      <c r="BI84" s="6">
        <v>206199</v>
      </c>
      <c r="BJ84" s="6">
        <v>186508</v>
      </c>
      <c r="BK84" s="6">
        <v>187477</v>
      </c>
      <c r="BL84" s="6">
        <v>182471</v>
      </c>
      <c r="BM84" s="6">
        <v>216634</v>
      </c>
    </row>
    <row r="85" spans="1:65" s="10" customFormat="1" x14ac:dyDescent="0.25">
      <c r="A85" s="1">
        <v>147</v>
      </c>
      <c r="B85" s="1">
        <f>VLOOKUP(E85,'[2]Peajes (1)'!$A:$D,4,0)</f>
        <v>3857</v>
      </c>
      <c r="C85" s="3" t="s">
        <v>218</v>
      </c>
      <c r="D85" s="3" t="s">
        <v>219</v>
      </c>
      <c r="E85" s="3" t="s">
        <v>221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42095</v>
      </c>
      <c r="AA85" s="6">
        <v>169322</v>
      </c>
      <c r="AB85" s="6">
        <v>163864</v>
      </c>
      <c r="AC85" s="6">
        <v>193278</v>
      </c>
      <c r="AD85" s="6">
        <v>178548</v>
      </c>
      <c r="AE85" s="6">
        <v>142711</v>
      </c>
      <c r="AF85" s="6">
        <v>163229</v>
      </c>
      <c r="AG85" s="6">
        <v>148280</v>
      </c>
      <c r="AH85" s="6">
        <v>158264</v>
      </c>
      <c r="AI85" s="6">
        <v>155178</v>
      </c>
      <c r="AJ85" s="6">
        <v>160506</v>
      </c>
      <c r="AK85" s="6">
        <v>164369</v>
      </c>
      <c r="AL85" s="6">
        <v>157680</v>
      </c>
      <c r="AM85" s="6">
        <v>169879</v>
      </c>
      <c r="AN85" s="6">
        <v>165432</v>
      </c>
      <c r="AO85" s="6">
        <v>190735</v>
      </c>
      <c r="AP85" s="6">
        <v>172264</v>
      </c>
      <c r="AQ85" s="6">
        <v>127913</v>
      </c>
      <c r="AR85" s="6">
        <v>152734</v>
      </c>
      <c r="AS85" s="6">
        <v>158871</v>
      </c>
      <c r="AT85" s="6">
        <v>151274</v>
      </c>
      <c r="AU85" s="6">
        <v>159452</v>
      </c>
      <c r="AV85" s="6">
        <v>166074</v>
      </c>
      <c r="AW85" s="6">
        <v>161710</v>
      </c>
      <c r="AX85" s="6">
        <v>152495</v>
      </c>
      <c r="AY85" s="6">
        <v>159755</v>
      </c>
      <c r="AZ85" s="6">
        <v>156532</v>
      </c>
      <c r="BA85" s="6">
        <v>187954</v>
      </c>
      <c r="BB85" s="6">
        <v>175755</v>
      </c>
      <c r="BC85" s="6">
        <v>134753</v>
      </c>
      <c r="BD85" s="6">
        <v>159997</v>
      </c>
      <c r="BE85" s="6">
        <v>143921</v>
      </c>
      <c r="BF85" s="6">
        <v>144695</v>
      </c>
      <c r="BG85" s="6">
        <v>150635</v>
      </c>
      <c r="BH85" s="6">
        <v>157955</v>
      </c>
      <c r="BI85" s="6">
        <v>155363</v>
      </c>
      <c r="BJ85" s="6">
        <v>146853</v>
      </c>
      <c r="BK85" s="6">
        <v>160183</v>
      </c>
      <c r="BL85" s="6">
        <v>155233</v>
      </c>
      <c r="BM85" s="6">
        <v>183518</v>
      </c>
    </row>
    <row r="86" spans="1:65" s="10" customFormat="1" hidden="1" x14ac:dyDescent="0.25">
      <c r="A86" s="8">
        <v>116</v>
      </c>
      <c r="B86" s="1">
        <f>VLOOKUP(E86,'[2]Peajes (1)'!$A:$D,4,0)</f>
        <v>3830</v>
      </c>
      <c r="C86" s="8" t="s">
        <v>177</v>
      </c>
      <c r="D86" s="8" t="s">
        <v>178</v>
      </c>
      <c r="E86" s="8" t="s">
        <v>241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16003</v>
      </c>
      <c r="AX86" s="6">
        <v>52665</v>
      </c>
      <c r="AY86" s="6">
        <v>54247</v>
      </c>
      <c r="AZ86" s="6">
        <v>53090</v>
      </c>
      <c r="BA86" s="6">
        <v>63313</v>
      </c>
      <c r="BB86" s="6">
        <v>61109</v>
      </c>
      <c r="BC86" s="6">
        <v>47349</v>
      </c>
      <c r="BD86" s="6">
        <v>58944</v>
      </c>
      <c r="BE86" s="6">
        <v>51514</v>
      </c>
      <c r="BF86" s="6">
        <v>58799</v>
      </c>
      <c r="BG86" s="6">
        <v>67981</v>
      </c>
      <c r="BH86" s="6">
        <v>59113</v>
      </c>
      <c r="BI86" s="6">
        <v>55198</v>
      </c>
      <c r="BJ86" s="6">
        <v>54243</v>
      </c>
      <c r="BK86" s="6">
        <v>57076</v>
      </c>
      <c r="BL86" s="6">
        <v>53727</v>
      </c>
      <c r="BM86" s="6">
        <v>64190</v>
      </c>
    </row>
    <row r="87" spans="1:65" hidden="1" x14ac:dyDescent="0.25">
      <c r="A87" s="8">
        <v>91</v>
      </c>
      <c r="B87" s="1">
        <f>VLOOKUP(E87,'[2]Peajes (1)'!$A:$D,4,0)</f>
        <v>3830</v>
      </c>
      <c r="C87" s="8" t="s">
        <v>129</v>
      </c>
      <c r="D87" s="8" t="s">
        <v>130</v>
      </c>
      <c r="E87" s="8" t="s">
        <v>241</v>
      </c>
      <c r="F87" s="6">
        <v>59667</v>
      </c>
      <c r="G87" s="6">
        <v>48077</v>
      </c>
      <c r="H87" s="6">
        <v>54588</v>
      </c>
      <c r="I87" s="6">
        <v>55994</v>
      </c>
      <c r="J87" s="6">
        <v>53382</v>
      </c>
      <c r="K87" s="6">
        <v>54079</v>
      </c>
      <c r="L87" s="6">
        <v>57472</v>
      </c>
      <c r="M87" s="6">
        <v>55312</v>
      </c>
      <c r="N87" s="6">
        <v>54537</v>
      </c>
      <c r="O87" s="6">
        <v>58253</v>
      </c>
      <c r="P87" s="6">
        <v>57614</v>
      </c>
      <c r="Q87" s="6">
        <v>64966</v>
      </c>
      <c r="R87" s="6">
        <v>66592</v>
      </c>
      <c r="S87" s="6">
        <v>55580</v>
      </c>
      <c r="T87" s="6">
        <v>63537</v>
      </c>
      <c r="U87" s="6">
        <v>61276</v>
      </c>
      <c r="V87" s="6">
        <v>59557</v>
      </c>
      <c r="W87" s="6">
        <v>61399</v>
      </c>
      <c r="X87" s="6">
        <v>63552</v>
      </c>
      <c r="Y87" s="6">
        <v>63414</v>
      </c>
      <c r="Z87" s="6">
        <v>63536</v>
      </c>
      <c r="AA87" s="6">
        <v>69928</v>
      </c>
      <c r="AB87" s="6">
        <v>65396</v>
      </c>
      <c r="AC87" s="6">
        <v>75729</v>
      </c>
      <c r="AD87" s="6">
        <v>75446</v>
      </c>
      <c r="AE87" s="6">
        <v>61695</v>
      </c>
      <c r="AF87" s="6">
        <v>72841</v>
      </c>
      <c r="AG87" s="6">
        <v>61000</v>
      </c>
      <c r="AH87" s="6">
        <v>64686</v>
      </c>
      <c r="AI87" s="6">
        <v>66588</v>
      </c>
      <c r="AJ87" s="6">
        <v>68352</v>
      </c>
      <c r="AK87" s="6">
        <v>66105</v>
      </c>
      <c r="AL87" s="6">
        <v>64850</v>
      </c>
      <c r="AM87" s="6">
        <v>68420</v>
      </c>
      <c r="AN87" s="6">
        <v>66984</v>
      </c>
      <c r="AO87" s="6">
        <v>73872</v>
      </c>
      <c r="AP87" s="6">
        <v>73590</v>
      </c>
      <c r="AQ87" s="6">
        <v>56644</v>
      </c>
      <c r="AR87" s="6">
        <v>63788</v>
      </c>
      <c r="AS87" s="6">
        <v>66830</v>
      </c>
      <c r="AT87" s="6">
        <v>58114</v>
      </c>
      <c r="AU87" s="6">
        <v>61673</v>
      </c>
      <c r="AV87" s="6">
        <v>62533</v>
      </c>
      <c r="AW87" s="6">
        <v>43813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</row>
    <row r="88" spans="1:65" x14ac:dyDescent="0.25">
      <c r="A88" s="8">
        <v>116</v>
      </c>
      <c r="B88" s="1">
        <f>VLOOKUP(E88,'[2]Peajes (1)'!$A:$D,4,0)</f>
        <v>3830</v>
      </c>
      <c r="C88" s="8" t="s">
        <v>177</v>
      </c>
      <c r="D88" s="8" t="s">
        <v>178</v>
      </c>
      <c r="E88" s="8" t="s">
        <v>241</v>
      </c>
      <c r="F88" s="6">
        <f>SUM(F86:F87)</f>
        <v>59667</v>
      </c>
      <c r="G88" s="6">
        <f t="shared" ref="G88:BM88" si="8">SUM(G86:G87)</f>
        <v>48077</v>
      </c>
      <c r="H88" s="6">
        <f t="shared" si="8"/>
        <v>54588</v>
      </c>
      <c r="I88" s="6">
        <f t="shared" si="8"/>
        <v>55994</v>
      </c>
      <c r="J88" s="6">
        <f t="shared" si="8"/>
        <v>53382</v>
      </c>
      <c r="K88" s="6">
        <f t="shared" si="8"/>
        <v>54079</v>
      </c>
      <c r="L88" s="6">
        <f t="shared" si="8"/>
        <v>57472</v>
      </c>
      <c r="M88" s="6">
        <f t="shared" si="8"/>
        <v>55312</v>
      </c>
      <c r="N88" s="6">
        <f t="shared" si="8"/>
        <v>54537</v>
      </c>
      <c r="O88" s="6">
        <f t="shared" si="8"/>
        <v>58253</v>
      </c>
      <c r="P88" s="6">
        <f t="shared" si="8"/>
        <v>57614</v>
      </c>
      <c r="Q88" s="6">
        <f t="shared" si="8"/>
        <v>64966</v>
      </c>
      <c r="R88" s="6">
        <f t="shared" si="8"/>
        <v>66592</v>
      </c>
      <c r="S88" s="6">
        <f t="shared" si="8"/>
        <v>55580</v>
      </c>
      <c r="T88" s="6">
        <f t="shared" si="8"/>
        <v>63537</v>
      </c>
      <c r="U88" s="6">
        <f t="shared" si="8"/>
        <v>61276</v>
      </c>
      <c r="V88" s="6">
        <f t="shared" si="8"/>
        <v>59557</v>
      </c>
      <c r="W88" s="6">
        <f t="shared" si="8"/>
        <v>61399</v>
      </c>
      <c r="X88" s="6">
        <f t="shared" si="8"/>
        <v>63552</v>
      </c>
      <c r="Y88" s="6">
        <f t="shared" si="8"/>
        <v>63414</v>
      </c>
      <c r="Z88" s="6">
        <f t="shared" si="8"/>
        <v>63536</v>
      </c>
      <c r="AA88" s="6">
        <f t="shared" si="8"/>
        <v>69928</v>
      </c>
      <c r="AB88" s="6">
        <f t="shared" si="8"/>
        <v>65396</v>
      </c>
      <c r="AC88" s="6">
        <f t="shared" si="8"/>
        <v>75729</v>
      </c>
      <c r="AD88" s="6">
        <f t="shared" si="8"/>
        <v>75446</v>
      </c>
      <c r="AE88" s="6">
        <f t="shared" si="8"/>
        <v>61695</v>
      </c>
      <c r="AF88" s="6">
        <f t="shared" si="8"/>
        <v>72841</v>
      </c>
      <c r="AG88" s="6">
        <f t="shared" si="8"/>
        <v>61000</v>
      </c>
      <c r="AH88" s="6">
        <f t="shared" si="8"/>
        <v>64686</v>
      </c>
      <c r="AI88" s="6">
        <f t="shared" si="8"/>
        <v>66588</v>
      </c>
      <c r="AJ88" s="6">
        <f t="shared" si="8"/>
        <v>68352</v>
      </c>
      <c r="AK88" s="6">
        <f t="shared" si="8"/>
        <v>66105</v>
      </c>
      <c r="AL88" s="6">
        <f t="shared" si="8"/>
        <v>64850</v>
      </c>
      <c r="AM88" s="6">
        <f t="shared" si="8"/>
        <v>68420</v>
      </c>
      <c r="AN88" s="6">
        <f t="shared" si="8"/>
        <v>66984</v>
      </c>
      <c r="AO88" s="6">
        <f t="shared" si="8"/>
        <v>73872</v>
      </c>
      <c r="AP88" s="6">
        <f t="shared" si="8"/>
        <v>73590</v>
      </c>
      <c r="AQ88" s="6">
        <f t="shared" si="8"/>
        <v>56644</v>
      </c>
      <c r="AR88" s="6">
        <f t="shared" si="8"/>
        <v>63788</v>
      </c>
      <c r="AS88" s="6">
        <f t="shared" si="8"/>
        <v>66830</v>
      </c>
      <c r="AT88" s="6">
        <f t="shared" si="8"/>
        <v>58114</v>
      </c>
      <c r="AU88" s="6">
        <f t="shared" si="8"/>
        <v>61673</v>
      </c>
      <c r="AV88" s="6">
        <f t="shared" si="8"/>
        <v>62533</v>
      </c>
      <c r="AW88" s="6">
        <f t="shared" si="8"/>
        <v>59816</v>
      </c>
      <c r="AX88" s="6">
        <f t="shared" si="8"/>
        <v>52665</v>
      </c>
      <c r="AY88" s="6">
        <f t="shared" si="8"/>
        <v>54247</v>
      </c>
      <c r="AZ88" s="6">
        <f t="shared" si="8"/>
        <v>53090</v>
      </c>
      <c r="BA88" s="6">
        <f t="shared" si="8"/>
        <v>63313</v>
      </c>
      <c r="BB88" s="6">
        <f t="shared" si="8"/>
        <v>61109</v>
      </c>
      <c r="BC88" s="6">
        <f t="shared" si="8"/>
        <v>47349</v>
      </c>
      <c r="BD88" s="6">
        <f t="shared" si="8"/>
        <v>58944</v>
      </c>
      <c r="BE88" s="6">
        <f t="shared" si="8"/>
        <v>51514</v>
      </c>
      <c r="BF88" s="6">
        <f t="shared" si="8"/>
        <v>58799</v>
      </c>
      <c r="BG88" s="6">
        <f t="shared" si="8"/>
        <v>67981</v>
      </c>
      <c r="BH88" s="6">
        <f t="shared" si="8"/>
        <v>59113</v>
      </c>
      <c r="BI88" s="6">
        <f t="shared" si="8"/>
        <v>55198</v>
      </c>
      <c r="BJ88" s="6">
        <f t="shared" si="8"/>
        <v>54243</v>
      </c>
      <c r="BK88" s="6">
        <f t="shared" si="8"/>
        <v>57076</v>
      </c>
      <c r="BL88" s="6">
        <f t="shared" si="8"/>
        <v>53727</v>
      </c>
      <c r="BM88" s="6">
        <f t="shared" si="8"/>
        <v>64190</v>
      </c>
    </row>
    <row r="89" spans="1:65" x14ac:dyDescent="0.25">
      <c r="A89" s="1">
        <v>154</v>
      </c>
      <c r="B89" s="1">
        <f>VLOOKUP(E89,'[2]Peajes (1)'!$A:$D,4,0)</f>
        <v>3817</v>
      </c>
      <c r="C89" s="3" t="s">
        <v>228</v>
      </c>
      <c r="D89" s="3" t="s">
        <v>229</v>
      </c>
      <c r="E89" s="3" t="s">
        <v>232</v>
      </c>
      <c r="F89" s="6">
        <v>186572</v>
      </c>
      <c r="G89" s="6">
        <v>122209</v>
      </c>
      <c r="H89" s="6">
        <v>132067</v>
      </c>
      <c r="I89" s="6">
        <v>157565</v>
      </c>
      <c r="J89" s="6">
        <v>156992</v>
      </c>
      <c r="K89" s="6">
        <v>152318</v>
      </c>
      <c r="L89" s="6">
        <v>142148</v>
      </c>
      <c r="M89" s="6">
        <v>141427</v>
      </c>
      <c r="N89" s="6">
        <v>129902</v>
      </c>
      <c r="O89" s="6">
        <v>152588</v>
      </c>
      <c r="P89" s="6">
        <v>150587</v>
      </c>
      <c r="Q89" s="6">
        <v>181682</v>
      </c>
      <c r="R89" s="6">
        <v>192160</v>
      </c>
      <c r="S89" s="6">
        <v>121944</v>
      </c>
      <c r="T89" s="6">
        <v>138415</v>
      </c>
      <c r="U89" s="6">
        <v>149793</v>
      </c>
      <c r="V89" s="6">
        <v>139780</v>
      </c>
      <c r="W89" s="6">
        <v>157015</v>
      </c>
      <c r="X89" s="6">
        <v>156657</v>
      </c>
      <c r="Y89" s="6">
        <v>151388</v>
      </c>
      <c r="Z89" s="6">
        <v>134913</v>
      </c>
      <c r="AA89" s="6">
        <v>159767</v>
      </c>
      <c r="AB89" s="6">
        <v>152228</v>
      </c>
      <c r="AC89" s="6">
        <v>191757</v>
      </c>
      <c r="AD89" s="6">
        <v>199706</v>
      </c>
      <c r="AE89" s="6">
        <v>129244</v>
      </c>
      <c r="AF89" s="6">
        <v>166923</v>
      </c>
      <c r="AG89" s="6">
        <v>127969</v>
      </c>
      <c r="AH89" s="6">
        <v>141925</v>
      </c>
      <c r="AI89" s="6">
        <v>142636</v>
      </c>
      <c r="AJ89" s="6">
        <v>139641</v>
      </c>
      <c r="AK89" s="6">
        <v>149190</v>
      </c>
      <c r="AL89" s="6">
        <v>138273</v>
      </c>
      <c r="AM89" s="6">
        <v>156464</v>
      </c>
      <c r="AN89" s="6">
        <v>153758</v>
      </c>
      <c r="AO89" s="6">
        <v>188645</v>
      </c>
      <c r="AP89" s="6">
        <v>197726</v>
      </c>
      <c r="AQ89" s="6">
        <v>129161</v>
      </c>
      <c r="AR89" s="6">
        <v>141057</v>
      </c>
      <c r="AS89" s="6">
        <v>163429</v>
      </c>
      <c r="AT89" s="6">
        <v>140403</v>
      </c>
      <c r="AU89" s="6">
        <v>151883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</row>
    <row r="90" spans="1:65" x14ac:dyDescent="0.25">
      <c r="A90" s="1">
        <v>61</v>
      </c>
      <c r="B90" s="1">
        <f>VLOOKUP(E90,'[2]Peajes (1)'!$A:$D,4,0)</f>
        <v>3968</v>
      </c>
      <c r="C90" s="3" t="s">
        <v>84</v>
      </c>
      <c r="D90" s="3" t="s">
        <v>85</v>
      </c>
      <c r="E90" s="3" t="s">
        <v>254</v>
      </c>
      <c r="F90" s="6">
        <v>407755</v>
      </c>
      <c r="G90" s="6">
        <v>342847</v>
      </c>
      <c r="H90" s="6">
        <v>381188</v>
      </c>
      <c r="I90" s="6">
        <v>385837</v>
      </c>
      <c r="J90" s="6">
        <v>375475</v>
      </c>
      <c r="K90" s="6">
        <v>370870</v>
      </c>
      <c r="L90" s="6">
        <v>392254</v>
      </c>
      <c r="M90" s="6">
        <v>382286</v>
      </c>
      <c r="N90" s="6">
        <v>378850</v>
      </c>
      <c r="O90" s="6">
        <v>402901</v>
      </c>
      <c r="P90" s="6">
        <v>383232</v>
      </c>
      <c r="Q90" s="6">
        <v>439398</v>
      </c>
      <c r="R90" s="6">
        <v>417402</v>
      </c>
      <c r="S90" s="6">
        <v>349907</v>
      </c>
      <c r="T90" s="6">
        <v>402396</v>
      </c>
      <c r="U90" s="6">
        <v>393979</v>
      </c>
      <c r="V90" s="6">
        <v>396053</v>
      </c>
      <c r="W90" s="6">
        <v>410312</v>
      </c>
      <c r="X90" s="6">
        <v>424205</v>
      </c>
      <c r="Y90" s="6">
        <v>423797</v>
      </c>
      <c r="Z90" s="6">
        <v>411602</v>
      </c>
      <c r="AA90" s="6">
        <v>440331</v>
      </c>
      <c r="AB90" s="6">
        <v>428303</v>
      </c>
      <c r="AC90" s="6">
        <v>488261</v>
      </c>
      <c r="AD90" s="6">
        <v>469804</v>
      </c>
      <c r="AE90" s="6">
        <v>401559</v>
      </c>
      <c r="AF90" s="6">
        <v>452539</v>
      </c>
      <c r="AG90" s="6">
        <v>406289</v>
      </c>
      <c r="AH90" s="6">
        <v>434116</v>
      </c>
      <c r="AI90" s="6">
        <v>438555</v>
      </c>
      <c r="AJ90" s="6">
        <v>451228</v>
      </c>
      <c r="AK90" s="6">
        <v>446984</v>
      </c>
      <c r="AL90" s="6">
        <v>428369</v>
      </c>
      <c r="AM90" s="6">
        <v>445569</v>
      </c>
      <c r="AN90" s="6">
        <v>437048</v>
      </c>
      <c r="AO90" s="6">
        <v>489650</v>
      </c>
      <c r="AP90" s="6">
        <v>469286</v>
      </c>
      <c r="AQ90" s="6">
        <v>389652</v>
      </c>
      <c r="AR90" s="6">
        <v>436843</v>
      </c>
      <c r="AS90" s="6">
        <v>432647</v>
      </c>
      <c r="AT90" s="6">
        <v>429069</v>
      </c>
      <c r="AU90" s="6">
        <v>429501</v>
      </c>
      <c r="AV90" s="6">
        <v>447780</v>
      </c>
      <c r="AW90" s="6">
        <v>447941</v>
      </c>
      <c r="AX90" s="6">
        <v>418325</v>
      </c>
      <c r="AY90" s="6">
        <v>430464</v>
      </c>
      <c r="AZ90" s="6">
        <v>430514</v>
      </c>
      <c r="BA90" s="6">
        <v>477178</v>
      </c>
      <c r="BB90" s="6">
        <v>457150</v>
      </c>
      <c r="BC90" s="6">
        <v>382433</v>
      </c>
      <c r="BD90" s="6">
        <v>437121</v>
      </c>
      <c r="BE90" s="6">
        <v>415892</v>
      </c>
      <c r="BF90" s="6">
        <v>423826</v>
      </c>
      <c r="BG90" s="6">
        <v>419963</v>
      </c>
      <c r="BH90" s="6">
        <v>441564</v>
      </c>
      <c r="BI90" s="6">
        <v>440409</v>
      </c>
      <c r="BJ90" s="6">
        <v>420007</v>
      </c>
      <c r="BK90" s="6">
        <v>446850</v>
      </c>
      <c r="BL90" s="6">
        <v>430763</v>
      </c>
      <c r="BM90" s="6">
        <v>481567</v>
      </c>
    </row>
    <row r="91" spans="1:65" x14ac:dyDescent="0.25">
      <c r="A91" s="1">
        <v>118</v>
      </c>
      <c r="B91" s="1">
        <f>VLOOKUP(E91,'[2]Peajes (1)'!$A:$D,4,0)</f>
        <v>3976</v>
      </c>
      <c r="C91" s="3" t="s">
        <v>177</v>
      </c>
      <c r="D91" s="3" t="s">
        <v>178</v>
      </c>
      <c r="E91" s="3" t="s">
        <v>242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28198</v>
      </c>
      <c r="AJ91" s="6">
        <v>116586</v>
      </c>
      <c r="AK91" s="6">
        <v>138851</v>
      </c>
      <c r="AL91" s="6">
        <v>125569</v>
      </c>
      <c r="AM91" s="6">
        <v>134411</v>
      </c>
      <c r="AN91" s="6">
        <v>127987</v>
      </c>
      <c r="AO91" s="6">
        <v>157311</v>
      </c>
      <c r="AP91" s="6">
        <v>171914</v>
      </c>
      <c r="AQ91" s="6">
        <v>114521</v>
      </c>
      <c r="AR91" s="6">
        <v>126183</v>
      </c>
      <c r="AS91" s="6">
        <v>138427</v>
      </c>
      <c r="AT91" s="6">
        <v>123647</v>
      </c>
      <c r="AU91" s="6">
        <v>130447</v>
      </c>
      <c r="AV91" s="6">
        <v>129986</v>
      </c>
      <c r="AW91" s="6">
        <v>126613</v>
      </c>
      <c r="AX91" s="6">
        <v>121497</v>
      </c>
      <c r="AY91" s="6">
        <v>127829</v>
      </c>
      <c r="AZ91" s="6">
        <v>125250</v>
      </c>
      <c r="BA91" s="6">
        <v>156628</v>
      </c>
      <c r="BB91" s="6">
        <v>175756</v>
      </c>
      <c r="BC91" s="6">
        <v>110916</v>
      </c>
      <c r="BD91" s="6">
        <v>132792</v>
      </c>
      <c r="BE91" s="6">
        <v>122133</v>
      </c>
      <c r="BF91" s="6">
        <v>99084</v>
      </c>
      <c r="BG91" s="6">
        <v>80263</v>
      </c>
      <c r="BH91" s="6">
        <v>121014</v>
      </c>
      <c r="BI91" s="6">
        <v>124377</v>
      </c>
      <c r="BJ91" s="6">
        <v>109983</v>
      </c>
      <c r="BK91" s="6">
        <v>124871</v>
      </c>
      <c r="BL91" s="6">
        <v>119806</v>
      </c>
      <c r="BM91" s="6">
        <v>150954</v>
      </c>
    </row>
    <row r="92" spans="1:65" x14ac:dyDescent="0.25">
      <c r="A92" s="1">
        <v>142</v>
      </c>
      <c r="B92" s="1">
        <f>VLOOKUP(E92,'[2]Peajes (1)'!$A:$D,4,0)</f>
        <v>3851</v>
      </c>
      <c r="C92" s="3" t="s">
        <v>208</v>
      </c>
      <c r="D92" s="3" t="s">
        <v>209</v>
      </c>
      <c r="E92" s="3" t="s">
        <v>243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60451</v>
      </c>
      <c r="R92" s="6">
        <v>140081</v>
      </c>
      <c r="S92" s="6">
        <v>132930</v>
      </c>
      <c r="T92" s="6">
        <v>147559</v>
      </c>
      <c r="U92" s="6">
        <v>135432</v>
      </c>
      <c r="V92" s="6">
        <v>152745</v>
      </c>
      <c r="W92" s="6">
        <v>138464</v>
      </c>
      <c r="X92" s="6">
        <v>138202</v>
      </c>
      <c r="Y92" s="6">
        <v>148043</v>
      </c>
      <c r="Z92" s="6">
        <v>142512</v>
      </c>
      <c r="AA92" s="6">
        <v>148603</v>
      </c>
      <c r="AB92" s="6">
        <v>145825</v>
      </c>
      <c r="AC92" s="6">
        <v>156298</v>
      </c>
      <c r="AD92" s="6">
        <v>142677</v>
      </c>
      <c r="AE92" s="6">
        <v>137255</v>
      </c>
      <c r="AF92" s="6">
        <v>143846</v>
      </c>
      <c r="AG92" s="6">
        <v>145237</v>
      </c>
      <c r="AH92" s="6">
        <v>153732</v>
      </c>
      <c r="AI92" s="6">
        <v>145847</v>
      </c>
      <c r="AJ92" s="6">
        <v>143789</v>
      </c>
      <c r="AK92" s="6">
        <v>145099</v>
      </c>
      <c r="AL92" s="6">
        <v>143766</v>
      </c>
      <c r="AM92" s="6">
        <v>145712</v>
      </c>
      <c r="AN92" s="6">
        <v>140530</v>
      </c>
      <c r="AO92" s="6">
        <v>152842</v>
      </c>
      <c r="AP92" s="6">
        <v>138194</v>
      </c>
      <c r="AQ92" s="6">
        <v>132178</v>
      </c>
      <c r="AR92" s="6">
        <v>142914</v>
      </c>
      <c r="AS92" s="6">
        <v>137465</v>
      </c>
      <c r="AT92" s="6">
        <v>143200</v>
      </c>
      <c r="AU92" s="6">
        <v>134480</v>
      </c>
      <c r="AV92" s="6">
        <v>132498</v>
      </c>
      <c r="AW92" s="6">
        <v>137221</v>
      </c>
      <c r="AX92" s="6">
        <v>129769</v>
      </c>
      <c r="AY92" s="6">
        <v>128929</v>
      </c>
      <c r="AZ92" s="6">
        <v>128146</v>
      </c>
      <c r="BA92" s="6">
        <v>138828</v>
      </c>
      <c r="BB92" s="6">
        <v>126042</v>
      </c>
      <c r="BC92" s="6">
        <v>119737</v>
      </c>
      <c r="BD92" s="6">
        <v>134256</v>
      </c>
      <c r="BE92" s="6">
        <v>126293</v>
      </c>
      <c r="BF92" s="6">
        <v>129445</v>
      </c>
      <c r="BG92" s="6">
        <v>120884</v>
      </c>
      <c r="BH92" s="6">
        <v>105789</v>
      </c>
      <c r="BI92" s="6">
        <v>113652</v>
      </c>
      <c r="BJ92" s="6">
        <v>113956</v>
      </c>
      <c r="BK92" s="6">
        <v>118015</v>
      </c>
      <c r="BL92" s="6">
        <v>123116</v>
      </c>
      <c r="BM92" s="6">
        <v>141107</v>
      </c>
    </row>
    <row r="93" spans="1:65" x14ac:dyDescent="0.25">
      <c r="A93" s="1">
        <v>148</v>
      </c>
      <c r="B93" s="1">
        <f>VLOOKUP(E93,'[2]Peajes (1)'!$A:$D,4,0)</f>
        <v>3810</v>
      </c>
      <c r="C93" s="3" t="s">
        <v>222</v>
      </c>
      <c r="D93" s="3" t="s">
        <v>223</v>
      </c>
      <c r="E93" s="3" t="s">
        <v>224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6262</v>
      </c>
      <c r="Z93" s="6">
        <v>46060</v>
      </c>
      <c r="AA93" s="6">
        <v>57032</v>
      </c>
      <c r="AB93" s="6">
        <v>49849</v>
      </c>
      <c r="AC93" s="6">
        <v>65278</v>
      </c>
      <c r="AD93" s="6">
        <v>72094</v>
      </c>
      <c r="AE93" s="6">
        <v>44988</v>
      </c>
      <c r="AF93" s="6">
        <v>58182</v>
      </c>
      <c r="AG93" s="6">
        <v>44078</v>
      </c>
      <c r="AH93" s="6">
        <v>54480</v>
      </c>
      <c r="AI93" s="6">
        <v>52568</v>
      </c>
      <c r="AJ93" s="6">
        <v>51303</v>
      </c>
      <c r="AK93" s="6">
        <v>52411</v>
      </c>
      <c r="AL93" s="6">
        <v>48807</v>
      </c>
      <c r="AM93" s="6">
        <v>57399</v>
      </c>
      <c r="AN93" s="6">
        <v>55171</v>
      </c>
      <c r="AO93" s="6">
        <v>64265</v>
      </c>
      <c r="AP93" s="6">
        <v>72174</v>
      </c>
      <c r="AQ93" s="6">
        <v>44139</v>
      </c>
      <c r="AR93" s="6">
        <v>49779</v>
      </c>
      <c r="AS93" s="6">
        <v>56702</v>
      </c>
      <c r="AT93" s="6">
        <v>50541</v>
      </c>
      <c r="AU93" s="6">
        <v>53962</v>
      </c>
      <c r="AV93" s="6">
        <v>54411</v>
      </c>
      <c r="AW93" s="6">
        <v>52831</v>
      </c>
      <c r="AX93" s="6">
        <v>48272</v>
      </c>
      <c r="AY93" s="6">
        <v>55230</v>
      </c>
      <c r="AZ93" s="6">
        <v>53634</v>
      </c>
      <c r="BA93" s="6">
        <v>67529</v>
      </c>
      <c r="BB93" s="6">
        <v>69726</v>
      </c>
      <c r="BC93" s="6">
        <v>45418</v>
      </c>
      <c r="BD93" s="6">
        <v>56748</v>
      </c>
      <c r="BE93" s="6">
        <v>45836</v>
      </c>
      <c r="BF93" s="6">
        <v>48571</v>
      </c>
      <c r="BG93" s="6">
        <v>51736</v>
      </c>
      <c r="BH93" s="6">
        <v>49424</v>
      </c>
      <c r="BI93" s="6">
        <v>49533</v>
      </c>
      <c r="BJ93" s="6">
        <v>44658</v>
      </c>
      <c r="BK93" s="6">
        <v>55233</v>
      </c>
      <c r="BL93" s="6">
        <v>55079</v>
      </c>
      <c r="BM93" s="6">
        <v>68252</v>
      </c>
    </row>
    <row r="94" spans="1:65" x14ac:dyDescent="0.25">
      <c r="A94" s="1">
        <v>14</v>
      </c>
      <c r="B94" s="1">
        <f>VLOOKUP(E94,'[2]Peajes (1)'!$A:$D,4,0)</f>
        <v>3904</v>
      </c>
      <c r="C94" s="3" t="s">
        <v>21</v>
      </c>
      <c r="D94" s="3" t="s">
        <v>22</v>
      </c>
      <c r="E94" s="3" t="s">
        <v>23</v>
      </c>
      <c r="F94" s="6">
        <v>135060</v>
      </c>
      <c r="G94" s="6">
        <v>92375</v>
      </c>
      <c r="H94" s="6">
        <v>112571</v>
      </c>
      <c r="I94" s="6">
        <v>114981</v>
      </c>
      <c r="J94" s="6">
        <v>100442</v>
      </c>
      <c r="K94" s="6">
        <v>105084</v>
      </c>
      <c r="L94" s="6">
        <v>107294</v>
      </c>
      <c r="M94" s="6">
        <v>111381</v>
      </c>
      <c r="N94" s="6">
        <v>96829</v>
      </c>
      <c r="O94" s="6">
        <v>110752</v>
      </c>
      <c r="P94" s="6">
        <v>107715</v>
      </c>
      <c r="Q94" s="6">
        <v>133041</v>
      </c>
      <c r="R94" s="6">
        <v>143740</v>
      </c>
      <c r="S94" s="6">
        <v>108234</v>
      </c>
      <c r="T94" s="6">
        <v>112841</v>
      </c>
      <c r="U94" s="6">
        <v>114115</v>
      </c>
      <c r="V94" s="6">
        <v>111335</v>
      </c>
      <c r="W94" s="6">
        <v>118284</v>
      </c>
      <c r="X94" s="6">
        <v>121120</v>
      </c>
      <c r="Y94" s="6">
        <v>117487</v>
      </c>
      <c r="Z94" s="6">
        <v>104662</v>
      </c>
      <c r="AA94" s="6">
        <v>119562</v>
      </c>
      <c r="AB94" s="6">
        <v>119983</v>
      </c>
      <c r="AC94" s="6">
        <v>142098</v>
      </c>
      <c r="AD94" s="6">
        <v>150624</v>
      </c>
      <c r="AE94" s="6">
        <v>116039</v>
      </c>
      <c r="AF94" s="6">
        <v>130521</v>
      </c>
      <c r="AG94" s="6">
        <v>105685</v>
      </c>
      <c r="AH94" s="6">
        <v>115154</v>
      </c>
      <c r="AI94" s="6">
        <v>117870</v>
      </c>
      <c r="AJ94" s="6">
        <v>133283</v>
      </c>
      <c r="AK94" s="6">
        <v>122998</v>
      </c>
      <c r="AL94" s="6">
        <v>111392</v>
      </c>
      <c r="AM94" s="6">
        <v>121392</v>
      </c>
      <c r="AN94" s="6">
        <v>114890</v>
      </c>
      <c r="AO94" s="6">
        <v>132956</v>
      </c>
      <c r="AP94" s="6">
        <v>148472</v>
      </c>
      <c r="AQ94" s="6">
        <v>115275</v>
      </c>
      <c r="AR94" s="6">
        <v>114771</v>
      </c>
      <c r="AS94" s="6">
        <v>120782</v>
      </c>
      <c r="AT94" s="6">
        <v>104331</v>
      </c>
      <c r="AU94" s="6">
        <v>115731</v>
      </c>
      <c r="AV94" s="6">
        <v>125235</v>
      </c>
      <c r="AW94" s="6">
        <v>116763</v>
      </c>
      <c r="AX94" s="6">
        <v>113680</v>
      </c>
      <c r="AY94" s="6">
        <v>128524</v>
      </c>
      <c r="AZ94" s="6">
        <v>115455</v>
      </c>
      <c r="BA94" s="6">
        <v>139205</v>
      </c>
      <c r="BB94" s="6">
        <v>152528</v>
      </c>
      <c r="BC94" s="6">
        <v>119145</v>
      </c>
      <c r="BD94" s="6">
        <v>136019</v>
      </c>
      <c r="BE94" s="6">
        <v>117994</v>
      </c>
      <c r="BF94" s="6">
        <v>111282</v>
      </c>
      <c r="BG94" s="6">
        <v>120184</v>
      </c>
      <c r="BH94" s="6">
        <v>135429</v>
      </c>
      <c r="BI94" s="6">
        <v>129188</v>
      </c>
      <c r="BJ94" s="6">
        <v>114964</v>
      </c>
      <c r="BK94" s="6">
        <v>127497</v>
      </c>
      <c r="BL94" s="6">
        <v>125773</v>
      </c>
      <c r="BM94" s="6">
        <v>154819</v>
      </c>
    </row>
    <row r="95" spans="1:65" x14ac:dyDescent="0.25">
      <c r="A95" s="1">
        <v>119</v>
      </c>
      <c r="B95" s="1">
        <f>VLOOKUP(E95,'[2]Peajes (1)'!$A:$D,4,0)</f>
        <v>3938</v>
      </c>
      <c r="C95" s="3" t="s">
        <v>177</v>
      </c>
      <c r="D95" s="3" t="s">
        <v>178</v>
      </c>
      <c r="E95" s="3" t="s">
        <v>182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11967</v>
      </c>
      <c r="AC95" s="6">
        <v>111761</v>
      </c>
      <c r="AD95" s="6">
        <v>135359</v>
      </c>
      <c r="AE95" s="6">
        <v>79026</v>
      </c>
      <c r="AF95" s="6">
        <v>105414</v>
      </c>
      <c r="AG95" s="6">
        <v>73636</v>
      </c>
      <c r="AH95" s="6">
        <v>83863</v>
      </c>
      <c r="AI95" s="6">
        <v>82108</v>
      </c>
      <c r="AJ95" s="6">
        <v>85713</v>
      </c>
      <c r="AK95" s="6">
        <v>73147</v>
      </c>
      <c r="AL95" s="6">
        <v>64695</v>
      </c>
      <c r="AM95" s="6">
        <v>73969</v>
      </c>
      <c r="AN95" s="6">
        <v>70050</v>
      </c>
      <c r="AO95" s="6">
        <v>88102</v>
      </c>
      <c r="AP95" s="6">
        <v>111767</v>
      </c>
      <c r="AQ95" s="6">
        <v>56397</v>
      </c>
      <c r="AR95" s="6">
        <v>65487</v>
      </c>
      <c r="AS95" s="6">
        <v>87146</v>
      </c>
      <c r="AT95" s="6">
        <v>63304</v>
      </c>
      <c r="AU95" s="6">
        <v>74579</v>
      </c>
      <c r="AV95" s="6">
        <v>77890</v>
      </c>
      <c r="AW95" s="6">
        <v>73652</v>
      </c>
      <c r="AX95" s="6">
        <v>63678</v>
      </c>
      <c r="AY95" s="6">
        <v>69962</v>
      </c>
      <c r="AZ95" s="6">
        <v>68377</v>
      </c>
      <c r="BA95" s="6">
        <v>86507</v>
      </c>
      <c r="BB95" s="6">
        <v>109344</v>
      </c>
      <c r="BC95" s="6">
        <v>54227</v>
      </c>
      <c r="BD95" s="6">
        <v>79789</v>
      </c>
      <c r="BE95" s="6">
        <v>61920</v>
      </c>
      <c r="BF95" s="6">
        <v>62764</v>
      </c>
      <c r="BG95" s="6">
        <v>78611</v>
      </c>
      <c r="BH95" s="6">
        <v>81659</v>
      </c>
      <c r="BI95" s="6">
        <v>73893</v>
      </c>
      <c r="BJ95" s="6">
        <v>66819</v>
      </c>
      <c r="BK95" s="6">
        <v>76946</v>
      </c>
      <c r="BL95" s="6">
        <v>69842</v>
      </c>
      <c r="BM95" s="6">
        <v>90098</v>
      </c>
    </row>
    <row r="96" spans="1:65" x14ac:dyDescent="0.25">
      <c r="A96" s="1">
        <v>42</v>
      </c>
      <c r="B96" s="1">
        <f>VLOOKUP(E96,'[2]Peajes (1)'!$A:$D,4,0)</f>
        <v>5606</v>
      </c>
      <c r="C96" s="3" t="s">
        <v>59</v>
      </c>
      <c r="D96" s="3" t="s">
        <v>60</v>
      </c>
      <c r="E96" s="3" t="s">
        <v>65</v>
      </c>
      <c r="F96" s="6">
        <v>215425</v>
      </c>
      <c r="G96" s="6">
        <v>176365</v>
      </c>
      <c r="H96" s="6">
        <v>192266</v>
      </c>
      <c r="I96" s="6">
        <v>210345</v>
      </c>
      <c r="J96" s="6">
        <v>189394</v>
      </c>
      <c r="K96" s="6">
        <v>198092</v>
      </c>
      <c r="L96" s="6">
        <v>211759</v>
      </c>
      <c r="M96" s="6">
        <v>218956</v>
      </c>
      <c r="N96" s="6">
        <v>198784</v>
      </c>
      <c r="O96" s="6">
        <v>210380</v>
      </c>
      <c r="P96" s="6">
        <v>204823</v>
      </c>
      <c r="Q96" s="6">
        <v>224564</v>
      </c>
      <c r="R96" s="6">
        <v>230658</v>
      </c>
      <c r="S96" s="6">
        <v>186498</v>
      </c>
      <c r="T96" s="6">
        <v>198122</v>
      </c>
      <c r="U96" s="6">
        <v>219543</v>
      </c>
      <c r="V96" s="6">
        <v>216823</v>
      </c>
      <c r="W96" s="6">
        <v>221626</v>
      </c>
      <c r="X96" s="6">
        <v>228114</v>
      </c>
      <c r="Y96" s="6">
        <v>235965</v>
      </c>
      <c r="Z96" s="6">
        <v>209510</v>
      </c>
      <c r="AA96" s="6">
        <v>223846</v>
      </c>
      <c r="AB96" s="6">
        <v>209129</v>
      </c>
      <c r="AC96" s="6">
        <v>226289</v>
      </c>
      <c r="AD96" s="6">
        <v>247748</v>
      </c>
      <c r="AE96" s="6">
        <v>200820</v>
      </c>
      <c r="AF96" s="6">
        <v>236395</v>
      </c>
      <c r="AG96" s="6">
        <v>202887</v>
      </c>
      <c r="AH96" s="6">
        <v>218899</v>
      </c>
      <c r="AI96" s="6">
        <v>198428</v>
      </c>
      <c r="AJ96" s="6">
        <v>211955</v>
      </c>
      <c r="AK96" s="6">
        <v>238032</v>
      </c>
      <c r="AL96" s="6">
        <v>211373</v>
      </c>
      <c r="AM96" s="6">
        <v>227279</v>
      </c>
      <c r="AN96" s="6">
        <v>222578</v>
      </c>
      <c r="AO96" s="6">
        <v>232527</v>
      </c>
      <c r="AP96" s="6">
        <v>235989</v>
      </c>
      <c r="AQ96" s="6">
        <v>192309</v>
      </c>
      <c r="AR96" s="6">
        <v>208113</v>
      </c>
      <c r="AS96" s="6">
        <v>214100</v>
      </c>
      <c r="AT96" s="6">
        <v>195432</v>
      </c>
      <c r="AU96" s="6">
        <v>212071</v>
      </c>
      <c r="AV96" s="6">
        <v>231581</v>
      </c>
      <c r="AW96" s="6">
        <v>223981</v>
      </c>
      <c r="AX96" s="6">
        <v>201300</v>
      </c>
      <c r="AY96" s="6">
        <v>215732</v>
      </c>
      <c r="AZ96" s="6">
        <v>212680</v>
      </c>
      <c r="BA96" s="6">
        <v>223562</v>
      </c>
      <c r="BB96" s="6">
        <v>229284</v>
      </c>
      <c r="BC96" s="6">
        <v>190692</v>
      </c>
      <c r="BD96" s="6">
        <v>222354</v>
      </c>
      <c r="BE96" s="6">
        <v>201573</v>
      </c>
      <c r="BF96" s="6">
        <v>201855</v>
      </c>
      <c r="BG96" s="6">
        <v>208400</v>
      </c>
      <c r="BH96" s="6">
        <v>227783</v>
      </c>
      <c r="BI96" s="6">
        <v>228275</v>
      </c>
      <c r="BJ96" s="6">
        <v>203337</v>
      </c>
      <c r="BK96" s="6">
        <v>216892</v>
      </c>
      <c r="BL96" s="6">
        <v>0</v>
      </c>
      <c r="BM96" s="6">
        <v>0</v>
      </c>
    </row>
    <row r="97" spans="1:65" x14ac:dyDescent="0.25">
      <c r="A97" s="1">
        <v>81</v>
      </c>
      <c r="B97" s="1">
        <f>VLOOKUP(E97,'[2]Peajes (1)'!$A:$D,4,0)</f>
        <v>3995</v>
      </c>
      <c r="C97" s="3" t="s">
        <v>112</v>
      </c>
      <c r="D97" s="3" t="s">
        <v>113</v>
      </c>
      <c r="E97" s="3" t="s">
        <v>117</v>
      </c>
      <c r="F97" s="6">
        <v>250495</v>
      </c>
      <c r="G97" s="6">
        <v>165368</v>
      </c>
      <c r="H97" s="6">
        <v>173850</v>
      </c>
      <c r="I97" s="6">
        <v>200492</v>
      </c>
      <c r="J97" s="6">
        <v>178857</v>
      </c>
      <c r="K97" s="6">
        <v>190950</v>
      </c>
      <c r="L97" s="6">
        <v>198891</v>
      </c>
      <c r="M97" s="6">
        <v>183791</v>
      </c>
      <c r="N97" s="6">
        <v>174612</v>
      </c>
      <c r="O97" s="6">
        <v>194374</v>
      </c>
      <c r="P97" s="6">
        <v>182508</v>
      </c>
      <c r="Q97" s="6">
        <v>222431</v>
      </c>
      <c r="R97" s="6">
        <v>242409</v>
      </c>
      <c r="S97" s="6">
        <v>171104</v>
      </c>
      <c r="T97" s="6">
        <v>190973</v>
      </c>
      <c r="U97" s="6">
        <v>193767</v>
      </c>
      <c r="V97" s="6">
        <v>188931</v>
      </c>
      <c r="W97" s="6">
        <v>196045</v>
      </c>
      <c r="X97" s="6">
        <v>210768</v>
      </c>
      <c r="Y97" s="6">
        <v>199397</v>
      </c>
      <c r="Z97" s="6">
        <v>194965</v>
      </c>
      <c r="AA97" s="6">
        <v>208702</v>
      </c>
      <c r="AB97" s="6">
        <v>200787</v>
      </c>
      <c r="AC97" s="6">
        <v>247212</v>
      </c>
      <c r="AD97" s="6">
        <v>272137</v>
      </c>
      <c r="AE97" s="6">
        <v>179564</v>
      </c>
      <c r="AF97" s="6">
        <v>207652</v>
      </c>
      <c r="AG97" s="6">
        <v>183641</v>
      </c>
      <c r="AH97" s="6">
        <v>179257</v>
      </c>
      <c r="AI97" s="6">
        <v>186452</v>
      </c>
      <c r="AJ97" s="6">
        <v>178316</v>
      </c>
      <c r="AK97" s="6">
        <v>191195</v>
      </c>
      <c r="AL97" s="6">
        <v>179391</v>
      </c>
      <c r="AM97" s="6">
        <v>192399</v>
      </c>
      <c r="AN97" s="6">
        <v>188696</v>
      </c>
      <c r="AO97" s="6">
        <v>233909</v>
      </c>
      <c r="AP97" s="6">
        <v>263817</v>
      </c>
      <c r="AQ97" s="6">
        <v>167177</v>
      </c>
      <c r="AR97" s="6">
        <v>181396</v>
      </c>
      <c r="AS97" s="6">
        <v>200549</v>
      </c>
      <c r="AT97" s="6">
        <v>179900</v>
      </c>
      <c r="AU97" s="6">
        <v>189283</v>
      </c>
      <c r="AV97" s="6">
        <v>188640</v>
      </c>
      <c r="AW97" s="6">
        <v>185718</v>
      </c>
      <c r="AX97" s="6">
        <v>182036</v>
      </c>
      <c r="AY97" s="6">
        <v>130874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</row>
    <row r="98" spans="1:65" x14ac:dyDescent="0.25">
      <c r="A98" s="1">
        <v>36</v>
      </c>
      <c r="B98" s="1">
        <f>VLOOKUP(E98,'[2]Peajes (1)'!$A:$D,4,0)</f>
        <v>3863</v>
      </c>
      <c r="C98" s="3" t="s">
        <v>53</v>
      </c>
      <c r="D98" s="3" t="s">
        <v>54</v>
      </c>
      <c r="E98" t="s">
        <v>255</v>
      </c>
      <c r="F98" s="6">
        <v>125884</v>
      </c>
      <c r="G98" s="6">
        <v>72154</v>
      </c>
      <c r="H98" s="6">
        <v>80981</v>
      </c>
      <c r="I98" s="6">
        <v>90453</v>
      </c>
      <c r="J98" s="6">
        <v>72551</v>
      </c>
      <c r="K98" s="6">
        <v>82994</v>
      </c>
      <c r="L98" s="6">
        <v>83149</v>
      </c>
      <c r="M98" s="6">
        <v>83243</v>
      </c>
      <c r="N98" s="6">
        <v>70998</v>
      </c>
      <c r="O98" s="6">
        <v>73852</v>
      </c>
      <c r="P98" s="6">
        <v>74196</v>
      </c>
      <c r="Q98" s="6">
        <v>93778</v>
      </c>
      <c r="R98" s="6">
        <v>119232</v>
      </c>
      <c r="S98" s="6">
        <v>71596</v>
      </c>
      <c r="T98" s="6">
        <v>80116</v>
      </c>
      <c r="U98" s="6">
        <v>86170</v>
      </c>
      <c r="V98" s="6">
        <v>79776</v>
      </c>
      <c r="W98" s="6">
        <v>87367</v>
      </c>
      <c r="X98" s="6">
        <v>88546</v>
      </c>
      <c r="Y98" s="6">
        <v>88394</v>
      </c>
      <c r="Z98" s="6">
        <v>75255</v>
      </c>
      <c r="AA98" s="6">
        <v>80247</v>
      </c>
      <c r="AB98" s="6">
        <v>79437</v>
      </c>
      <c r="AC98" s="6">
        <v>105067</v>
      </c>
      <c r="AD98" s="6">
        <v>138334</v>
      </c>
      <c r="AE98" s="6">
        <v>80663</v>
      </c>
      <c r="AF98" s="6">
        <v>106330</v>
      </c>
      <c r="AG98" s="6">
        <v>76665</v>
      </c>
      <c r="AH98" s="6">
        <v>83430</v>
      </c>
      <c r="AI98" s="6">
        <v>87445</v>
      </c>
      <c r="AJ98" s="6">
        <v>98729</v>
      </c>
      <c r="AK98" s="6">
        <v>94514</v>
      </c>
      <c r="AL98" s="6">
        <v>81026</v>
      </c>
      <c r="AM98" s="6">
        <v>87771</v>
      </c>
      <c r="AN98" s="6">
        <v>87154</v>
      </c>
      <c r="AO98" s="6">
        <v>109153</v>
      </c>
      <c r="AP98" s="6">
        <v>145088</v>
      </c>
      <c r="AQ98" s="6">
        <v>84158</v>
      </c>
      <c r="AR98" s="6">
        <v>93964</v>
      </c>
      <c r="AS98" s="6">
        <v>107327</v>
      </c>
      <c r="AT98" s="6">
        <v>89865</v>
      </c>
      <c r="AU98" s="6">
        <v>95920</v>
      </c>
      <c r="AV98" s="6">
        <v>105613</v>
      </c>
      <c r="AW98" s="6">
        <v>97836</v>
      </c>
      <c r="AX98" s="6">
        <v>84519</v>
      </c>
      <c r="AY98" s="6">
        <v>98608</v>
      </c>
      <c r="AZ98" s="6">
        <v>94182</v>
      </c>
      <c r="BA98" s="6">
        <v>119569</v>
      </c>
      <c r="BB98" s="6">
        <v>152394</v>
      </c>
      <c r="BC98" s="6">
        <v>87451</v>
      </c>
      <c r="BD98" s="6">
        <v>119406</v>
      </c>
      <c r="BE98" s="6">
        <v>97084</v>
      </c>
      <c r="BF98" s="6">
        <v>92582</v>
      </c>
      <c r="BG98" s="6">
        <v>101627</v>
      </c>
      <c r="BH98" s="6">
        <v>119640</v>
      </c>
      <c r="BI98" s="6">
        <v>115612</v>
      </c>
      <c r="BJ98" s="6">
        <v>98122</v>
      </c>
      <c r="BK98" s="6">
        <v>102014</v>
      </c>
      <c r="BL98" s="6">
        <v>103792</v>
      </c>
      <c r="BM98" s="6">
        <v>129463</v>
      </c>
    </row>
    <row r="99" spans="1:65" x14ac:dyDescent="0.25">
      <c r="A99" s="8">
        <v>136</v>
      </c>
      <c r="B99" s="1">
        <f>VLOOKUP(E99,'[2]Peajes (1)'!$A:$D,4,0)</f>
        <v>3854</v>
      </c>
      <c r="C99" s="8" t="s">
        <v>199</v>
      </c>
      <c r="D99" s="8" t="s">
        <v>200</v>
      </c>
      <c r="E99" s="8" t="s">
        <v>52</v>
      </c>
      <c r="F99" s="6">
        <v>183666</v>
      </c>
      <c r="G99" s="6">
        <v>141643</v>
      </c>
      <c r="H99" s="6">
        <v>150254</v>
      </c>
      <c r="I99" s="6">
        <v>161628</v>
      </c>
      <c r="J99" s="6">
        <v>137766</v>
      </c>
      <c r="K99" s="6">
        <v>170872</v>
      </c>
      <c r="L99" s="6">
        <v>167777</v>
      </c>
      <c r="M99" s="6">
        <v>156489</v>
      </c>
      <c r="N99" s="6">
        <v>148657</v>
      </c>
      <c r="O99" s="6">
        <v>164297</v>
      </c>
      <c r="P99" s="6">
        <v>157429</v>
      </c>
      <c r="Q99" s="6">
        <v>187094</v>
      </c>
      <c r="R99" s="6">
        <v>177149</v>
      </c>
      <c r="S99" s="6">
        <v>126514</v>
      </c>
      <c r="T99" s="6">
        <v>143431</v>
      </c>
      <c r="U99" s="6">
        <v>143646</v>
      </c>
      <c r="V99" s="6">
        <v>139933</v>
      </c>
      <c r="W99" s="6">
        <v>170777</v>
      </c>
      <c r="X99" s="6">
        <v>159579</v>
      </c>
      <c r="Y99" s="6">
        <v>150026</v>
      </c>
      <c r="Z99" s="6">
        <v>140553</v>
      </c>
      <c r="AA99" s="6">
        <v>156976</v>
      </c>
      <c r="AB99" s="6">
        <v>149056</v>
      </c>
      <c r="AC99" s="6">
        <v>183863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55020</v>
      </c>
      <c r="AJ99" s="6">
        <v>159841</v>
      </c>
      <c r="AK99" s="6">
        <v>150264</v>
      </c>
      <c r="AL99" s="6">
        <v>138367</v>
      </c>
      <c r="AM99" s="6">
        <v>158030</v>
      </c>
      <c r="AN99" s="6">
        <v>152202</v>
      </c>
      <c r="AO99" s="6">
        <v>182920</v>
      </c>
      <c r="AP99" s="6">
        <v>176039</v>
      </c>
      <c r="AQ99" s="6">
        <v>123425</v>
      </c>
      <c r="AR99" s="6">
        <v>138745</v>
      </c>
      <c r="AS99" s="6">
        <v>153095</v>
      </c>
      <c r="AT99" s="6">
        <v>138408</v>
      </c>
      <c r="AU99" s="6">
        <v>159230</v>
      </c>
      <c r="AV99" s="6">
        <v>166458</v>
      </c>
      <c r="AW99" s="6">
        <v>150301</v>
      </c>
      <c r="AX99" s="6">
        <v>136828</v>
      </c>
      <c r="AY99" s="6">
        <v>157372</v>
      </c>
      <c r="AZ99" s="6">
        <v>151128</v>
      </c>
      <c r="BA99" s="6">
        <v>190219</v>
      </c>
      <c r="BB99" s="6">
        <v>184141</v>
      </c>
      <c r="BC99" s="6">
        <v>129199</v>
      </c>
      <c r="BD99" s="6">
        <v>164717</v>
      </c>
      <c r="BE99" s="6">
        <v>145993</v>
      </c>
      <c r="BF99" s="6">
        <v>147565</v>
      </c>
      <c r="BG99" s="6">
        <v>166065</v>
      </c>
      <c r="BH99" s="6">
        <v>171047</v>
      </c>
      <c r="BI99" s="6">
        <v>155241</v>
      </c>
      <c r="BJ99" s="6">
        <v>144039</v>
      </c>
      <c r="BK99" s="6">
        <v>163510</v>
      </c>
      <c r="BL99" s="6">
        <v>157733</v>
      </c>
      <c r="BM99" s="6">
        <v>194599</v>
      </c>
    </row>
    <row r="100" spans="1:65" s="10" customFormat="1" hidden="1" x14ac:dyDescent="0.25">
      <c r="A100" s="8">
        <v>28</v>
      </c>
      <c r="B100" s="1">
        <f>VLOOKUP(E100,'[2]Peajes (1)'!$A:$D,4,0)</f>
        <v>3853</v>
      </c>
      <c r="C100" s="8" t="s">
        <v>41</v>
      </c>
      <c r="D100" s="8" t="s">
        <v>42</v>
      </c>
      <c r="E100" s="8" t="s">
        <v>45</v>
      </c>
      <c r="F100" s="6">
        <v>312461</v>
      </c>
      <c r="G100" s="6">
        <v>230583</v>
      </c>
      <c r="H100" s="6">
        <v>262821</v>
      </c>
      <c r="I100" s="6">
        <v>269760</v>
      </c>
      <c r="J100" s="6">
        <v>269273</v>
      </c>
      <c r="K100" s="6">
        <v>271484</v>
      </c>
      <c r="L100" s="6">
        <v>281873</v>
      </c>
      <c r="M100" s="6">
        <v>289626</v>
      </c>
      <c r="N100" s="6">
        <v>280045</v>
      </c>
      <c r="O100" s="6">
        <v>310712</v>
      </c>
      <c r="P100" s="6">
        <v>289039</v>
      </c>
      <c r="Q100" s="6">
        <v>335637</v>
      </c>
      <c r="R100" s="6">
        <v>346204</v>
      </c>
      <c r="S100" s="6">
        <v>263234</v>
      </c>
      <c r="T100" s="6">
        <v>293911</v>
      </c>
      <c r="U100" s="6">
        <v>283873</v>
      </c>
      <c r="V100" s="6">
        <v>293754</v>
      </c>
      <c r="W100" s="6">
        <v>74557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</row>
    <row r="101" spans="1:65" s="10" customFormat="1" hidden="1" x14ac:dyDescent="0.25">
      <c r="A101" s="8">
        <v>132</v>
      </c>
      <c r="B101" s="1">
        <f>VLOOKUP(E101,'[2]Peajes (1)'!$A:$D,4,0)</f>
        <v>3853</v>
      </c>
      <c r="C101" s="8" t="s">
        <v>195</v>
      </c>
      <c r="D101" s="8" t="s">
        <v>196</v>
      </c>
      <c r="E101" s="8" t="s">
        <v>45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219606</v>
      </c>
      <c r="X101" s="6">
        <v>303403</v>
      </c>
      <c r="Y101" s="6">
        <v>303033</v>
      </c>
      <c r="Z101" s="6">
        <v>289329</v>
      </c>
      <c r="AA101" s="6">
        <v>320974</v>
      </c>
      <c r="AB101" s="6">
        <v>297177</v>
      </c>
      <c r="AC101" s="6">
        <v>345157</v>
      </c>
      <c r="AD101" s="6">
        <v>343303</v>
      </c>
      <c r="AE101" s="6">
        <v>260550</v>
      </c>
      <c r="AF101" s="6">
        <v>287434</v>
      </c>
      <c r="AG101" s="6">
        <v>256722</v>
      </c>
      <c r="AH101" s="6">
        <v>273333</v>
      </c>
      <c r="AI101" s="6">
        <v>267507</v>
      </c>
      <c r="AJ101" s="6">
        <v>272888</v>
      </c>
      <c r="AK101" s="6">
        <v>276056</v>
      </c>
      <c r="AL101" s="6">
        <v>259747</v>
      </c>
      <c r="AM101" s="6">
        <v>289876</v>
      </c>
      <c r="AN101" s="6">
        <v>280205</v>
      </c>
      <c r="AO101" s="6">
        <v>316550</v>
      </c>
      <c r="AP101" s="6">
        <v>321907</v>
      </c>
      <c r="AQ101" s="6">
        <v>247538</v>
      </c>
      <c r="AR101" s="6">
        <v>275371</v>
      </c>
      <c r="AS101" s="6">
        <v>275832</v>
      </c>
      <c r="AT101" s="6">
        <v>265078</v>
      </c>
      <c r="AU101" s="6">
        <v>249469</v>
      </c>
      <c r="AV101" s="6">
        <v>268833</v>
      </c>
      <c r="AW101" s="6">
        <v>281083</v>
      </c>
      <c r="AX101" s="6">
        <v>252628</v>
      </c>
      <c r="AY101" s="6">
        <v>285099</v>
      </c>
      <c r="AZ101" s="6">
        <v>274062</v>
      </c>
      <c r="BA101" s="6">
        <v>314303</v>
      </c>
      <c r="BB101" s="6">
        <v>312655</v>
      </c>
      <c r="BC101" s="6">
        <v>226355</v>
      </c>
      <c r="BD101" s="6">
        <v>279828</v>
      </c>
      <c r="BE101" s="6">
        <v>257296</v>
      </c>
      <c r="BF101" s="6">
        <v>262948</v>
      </c>
      <c r="BG101" s="6">
        <v>267758</v>
      </c>
      <c r="BH101" s="6">
        <v>279347</v>
      </c>
      <c r="BI101" s="6">
        <v>269267</v>
      </c>
      <c r="BJ101" s="6">
        <v>266521</v>
      </c>
      <c r="BK101" s="6">
        <v>297714</v>
      </c>
      <c r="BL101" s="6">
        <v>287157</v>
      </c>
      <c r="BM101" s="6">
        <v>330469</v>
      </c>
    </row>
    <row r="102" spans="1:65" s="10" customFormat="1" x14ac:dyDescent="0.25">
      <c r="A102" s="8">
        <v>132</v>
      </c>
      <c r="B102" s="1">
        <f>VLOOKUP(E102,'[2]Peajes (1)'!$A:$D,4,0)</f>
        <v>3853</v>
      </c>
      <c r="C102" s="8" t="s">
        <v>195</v>
      </c>
      <c r="D102" s="8" t="s">
        <v>196</v>
      </c>
      <c r="E102" s="8" t="s">
        <v>45</v>
      </c>
      <c r="F102" s="6">
        <f>SUM(F100:F101)</f>
        <v>312461</v>
      </c>
      <c r="G102" s="6">
        <f t="shared" ref="G102:BM102" si="9">SUM(G100:G101)</f>
        <v>230583</v>
      </c>
      <c r="H102" s="6">
        <f t="shared" si="9"/>
        <v>262821</v>
      </c>
      <c r="I102" s="6">
        <f t="shared" si="9"/>
        <v>269760</v>
      </c>
      <c r="J102" s="6">
        <f t="shared" si="9"/>
        <v>269273</v>
      </c>
      <c r="K102" s="6">
        <f t="shared" si="9"/>
        <v>271484</v>
      </c>
      <c r="L102" s="6">
        <f t="shared" si="9"/>
        <v>281873</v>
      </c>
      <c r="M102" s="6">
        <f t="shared" si="9"/>
        <v>289626</v>
      </c>
      <c r="N102" s="6">
        <f t="shared" si="9"/>
        <v>280045</v>
      </c>
      <c r="O102" s="6">
        <f t="shared" si="9"/>
        <v>310712</v>
      </c>
      <c r="P102" s="6">
        <f t="shared" si="9"/>
        <v>289039</v>
      </c>
      <c r="Q102" s="6">
        <f t="shared" si="9"/>
        <v>335637</v>
      </c>
      <c r="R102" s="6">
        <f t="shared" si="9"/>
        <v>346204</v>
      </c>
      <c r="S102" s="6">
        <f t="shared" si="9"/>
        <v>263234</v>
      </c>
      <c r="T102" s="6">
        <f t="shared" si="9"/>
        <v>293911</v>
      </c>
      <c r="U102" s="6">
        <f t="shared" si="9"/>
        <v>283873</v>
      </c>
      <c r="V102" s="6">
        <f t="shared" si="9"/>
        <v>293754</v>
      </c>
      <c r="W102" s="6">
        <f t="shared" si="9"/>
        <v>294163</v>
      </c>
      <c r="X102" s="6">
        <f t="shared" si="9"/>
        <v>303403</v>
      </c>
      <c r="Y102" s="6">
        <f t="shared" si="9"/>
        <v>303033</v>
      </c>
      <c r="Z102" s="6">
        <f t="shared" si="9"/>
        <v>289329</v>
      </c>
      <c r="AA102" s="6">
        <f t="shared" si="9"/>
        <v>320974</v>
      </c>
      <c r="AB102" s="6">
        <f t="shared" si="9"/>
        <v>297177</v>
      </c>
      <c r="AC102" s="6">
        <f t="shared" si="9"/>
        <v>345157</v>
      </c>
      <c r="AD102" s="6">
        <f t="shared" si="9"/>
        <v>343303</v>
      </c>
      <c r="AE102" s="6">
        <f t="shared" si="9"/>
        <v>260550</v>
      </c>
      <c r="AF102" s="6">
        <f t="shared" si="9"/>
        <v>287434</v>
      </c>
      <c r="AG102" s="6">
        <f t="shared" si="9"/>
        <v>256722</v>
      </c>
      <c r="AH102" s="6">
        <f t="shared" si="9"/>
        <v>273333</v>
      </c>
      <c r="AI102" s="6">
        <f t="shared" si="9"/>
        <v>267507</v>
      </c>
      <c r="AJ102" s="6">
        <f t="shared" si="9"/>
        <v>272888</v>
      </c>
      <c r="AK102" s="6">
        <f t="shared" si="9"/>
        <v>276056</v>
      </c>
      <c r="AL102" s="6">
        <f t="shared" si="9"/>
        <v>259747</v>
      </c>
      <c r="AM102" s="6">
        <f t="shared" si="9"/>
        <v>289876</v>
      </c>
      <c r="AN102" s="6">
        <f t="shared" si="9"/>
        <v>280205</v>
      </c>
      <c r="AO102" s="6">
        <f t="shared" si="9"/>
        <v>316550</v>
      </c>
      <c r="AP102" s="6">
        <f t="shared" si="9"/>
        <v>321907</v>
      </c>
      <c r="AQ102" s="6">
        <f t="shared" si="9"/>
        <v>247538</v>
      </c>
      <c r="AR102" s="6">
        <f t="shared" si="9"/>
        <v>275371</v>
      </c>
      <c r="AS102" s="6">
        <f t="shared" si="9"/>
        <v>275832</v>
      </c>
      <c r="AT102" s="6">
        <f t="shared" si="9"/>
        <v>265078</v>
      </c>
      <c r="AU102" s="6">
        <f t="shared" si="9"/>
        <v>249469</v>
      </c>
      <c r="AV102" s="6">
        <f t="shared" si="9"/>
        <v>268833</v>
      </c>
      <c r="AW102" s="6">
        <f t="shared" si="9"/>
        <v>281083</v>
      </c>
      <c r="AX102" s="6">
        <f t="shared" si="9"/>
        <v>252628</v>
      </c>
      <c r="AY102" s="6">
        <f t="shared" si="9"/>
        <v>285099</v>
      </c>
      <c r="AZ102" s="6">
        <f t="shared" si="9"/>
        <v>274062</v>
      </c>
      <c r="BA102" s="6">
        <f t="shared" si="9"/>
        <v>314303</v>
      </c>
      <c r="BB102" s="6">
        <f t="shared" si="9"/>
        <v>312655</v>
      </c>
      <c r="BC102" s="6">
        <f t="shared" si="9"/>
        <v>226355</v>
      </c>
      <c r="BD102" s="6">
        <f t="shared" si="9"/>
        <v>279828</v>
      </c>
      <c r="BE102" s="6">
        <f t="shared" si="9"/>
        <v>257296</v>
      </c>
      <c r="BF102" s="6">
        <f t="shared" si="9"/>
        <v>262948</v>
      </c>
      <c r="BG102" s="6">
        <f t="shared" si="9"/>
        <v>267758</v>
      </c>
      <c r="BH102" s="6">
        <f t="shared" si="9"/>
        <v>279347</v>
      </c>
      <c r="BI102" s="6">
        <f t="shared" si="9"/>
        <v>269267</v>
      </c>
      <c r="BJ102" s="6">
        <f t="shared" si="9"/>
        <v>266521</v>
      </c>
      <c r="BK102" s="6">
        <f t="shared" si="9"/>
        <v>297714</v>
      </c>
      <c r="BL102" s="6">
        <f t="shared" si="9"/>
        <v>287157</v>
      </c>
      <c r="BM102" s="6">
        <f t="shared" si="9"/>
        <v>330469</v>
      </c>
    </row>
    <row r="103" spans="1:65" s="10" customFormat="1" x14ac:dyDescent="0.25">
      <c r="A103" s="1">
        <v>155</v>
      </c>
      <c r="B103" s="1">
        <f>VLOOKUP(E103,'[2]Peajes (1)'!$A:$D,4,0)</f>
        <v>3839</v>
      </c>
      <c r="C103" s="3" t="s">
        <v>228</v>
      </c>
      <c r="D103" s="3" t="s">
        <v>229</v>
      </c>
      <c r="E103" s="3" t="s">
        <v>233</v>
      </c>
      <c r="F103" s="6">
        <v>152529</v>
      </c>
      <c r="G103" s="6">
        <v>90878</v>
      </c>
      <c r="H103" s="6">
        <v>96998</v>
      </c>
      <c r="I103" s="6">
        <v>121553</v>
      </c>
      <c r="J103" s="6">
        <v>125086</v>
      </c>
      <c r="K103" s="6">
        <v>117780</v>
      </c>
      <c r="L103" s="6">
        <v>107498</v>
      </c>
      <c r="M103" s="6">
        <v>106412</v>
      </c>
      <c r="N103" s="6">
        <v>94669</v>
      </c>
      <c r="O103" s="6">
        <v>113385</v>
      </c>
      <c r="P103" s="6">
        <v>112695</v>
      </c>
      <c r="Q103" s="6">
        <v>141075</v>
      </c>
      <c r="R103" s="6">
        <v>153241</v>
      </c>
      <c r="S103" s="6">
        <v>88890</v>
      </c>
      <c r="T103" s="6">
        <v>101111</v>
      </c>
      <c r="U103" s="6">
        <v>112626</v>
      </c>
      <c r="V103" s="6">
        <v>100677</v>
      </c>
      <c r="W103" s="6">
        <v>118893</v>
      </c>
      <c r="X103" s="6">
        <v>119371</v>
      </c>
      <c r="Y103" s="6">
        <v>111162</v>
      </c>
      <c r="Z103" s="6">
        <v>98712</v>
      </c>
      <c r="AA103" s="6">
        <v>117675</v>
      </c>
      <c r="AB103" s="6">
        <v>109536</v>
      </c>
      <c r="AC103" s="6">
        <v>147828</v>
      </c>
      <c r="AD103" s="6">
        <v>157019</v>
      </c>
      <c r="AE103" s="6">
        <v>90282</v>
      </c>
      <c r="AF103" s="6">
        <v>126134</v>
      </c>
      <c r="AG103" s="6">
        <v>90122</v>
      </c>
      <c r="AH103" s="6">
        <v>103540</v>
      </c>
      <c r="AI103" s="6">
        <v>103607</v>
      </c>
      <c r="AJ103" s="6">
        <v>100525</v>
      </c>
      <c r="AK103" s="6">
        <v>110136</v>
      </c>
      <c r="AL103" s="6">
        <v>100409</v>
      </c>
      <c r="AM103" s="6">
        <v>117547</v>
      </c>
      <c r="AN103" s="6">
        <v>112604</v>
      </c>
      <c r="AO103" s="6">
        <v>146394</v>
      </c>
      <c r="AP103" s="6">
        <v>160640</v>
      </c>
      <c r="AQ103" s="6">
        <v>93820</v>
      </c>
      <c r="AR103" s="6">
        <v>103675</v>
      </c>
      <c r="AS103" s="6">
        <v>127929</v>
      </c>
      <c r="AT103" s="6">
        <v>103877</v>
      </c>
      <c r="AU103" s="6">
        <v>116084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</row>
    <row r="104" spans="1:65" x14ac:dyDescent="0.25">
      <c r="A104" s="1">
        <v>82</v>
      </c>
      <c r="B104" s="1">
        <f>VLOOKUP(E104,'[2]Peajes (1)'!$A:$D,4,0)</f>
        <v>3802</v>
      </c>
      <c r="C104" s="3" t="s">
        <v>112</v>
      </c>
      <c r="D104" s="3" t="s">
        <v>113</v>
      </c>
      <c r="E104" s="3" t="s">
        <v>118</v>
      </c>
      <c r="F104" s="6">
        <v>229869</v>
      </c>
      <c r="G104" s="6">
        <v>142313</v>
      </c>
      <c r="H104" s="6">
        <v>149423</v>
      </c>
      <c r="I104" s="6">
        <v>178558</v>
      </c>
      <c r="J104" s="6">
        <v>154641</v>
      </c>
      <c r="K104" s="6">
        <v>169268</v>
      </c>
      <c r="L104" s="6">
        <v>178310</v>
      </c>
      <c r="M104" s="6">
        <v>160619</v>
      </c>
      <c r="N104" s="6">
        <v>152655</v>
      </c>
      <c r="O104" s="6">
        <v>168130</v>
      </c>
      <c r="P104" s="6">
        <v>155767</v>
      </c>
      <c r="Q104" s="6">
        <v>191567</v>
      </c>
      <c r="R104" s="6">
        <v>223193</v>
      </c>
      <c r="S104" s="6">
        <v>149803</v>
      </c>
      <c r="T104" s="6">
        <v>164422</v>
      </c>
      <c r="U104" s="6">
        <v>168489</v>
      </c>
      <c r="V104" s="6">
        <v>160850</v>
      </c>
      <c r="W104" s="6">
        <v>165699</v>
      </c>
      <c r="X104" s="6">
        <v>178459</v>
      </c>
      <c r="Y104" s="6">
        <v>168161</v>
      </c>
      <c r="Z104" s="6">
        <v>163551</v>
      </c>
      <c r="AA104" s="6">
        <v>183308</v>
      </c>
      <c r="AB104" s="6">
        <v>176750</v>
      </c>
      <c r="AC104" s="6">
        <v>216745</v>
      </c>
      <c r="AD104" s="6">
        <v>251656</v>
      </c>
      <c r="AE104" s="6">
        <v>155982</v>
      </c>
      <c r="AF104" s="6">
        <v>188816</v>
      </c>
      <c r="AG104" s="6">
        <v>163333</v>
      </c>
      <c r="AH104" s="6">
        <v>161484</v>
      </c>
      <c r="AI104" s="6">
        <v>167053</v>
      </c>
      <c r="AJ104" s="6">
        <v>159179</v>
      </c>
      <c r="AK104" s="6">
        <v>173029</v>
      </c>
      <c r="AL104" s="6">
        <v>163306</v>
      </c>
      <c r="AM104" s="6">
        <v>176583</v>
      </c>
      <c r="AN104" s="6">
        <v>172427</v>
      </c>
      <c r="AO104" s="6">
        <v>214955</v>
      </c>
      <c r="AP104" s="6">
        <v>247435</v>
      </c>
      <c r="AQ104" s="6">
        <v>148512</v>
      </c>
      <c r="AR104" s="6">
        <v>158900</v>
      </c>
      <c r="AS104" s="6">
        <v>180999</v>
      </c>
      <c r="AT104" s="6">
        <v>157848</v>
      </c>
      <c r="AU104" s="6">
        <v>169820</v>
      </c>
      <c r="AV104" s="6">
        <v>169024</v>
      </c>
      <c r="AW104" s="6">
        <v>165075</v>
      </c>
      <c r="AX104" s="6">
        <v>159931</v>
      </c>
      <c r="AY104" s="6">
        <v>116714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</row>
    <row r="105" spans="1:65" x14ac:dyDescent="0.25">
      <c r="A105" s="1">
        <v>107</v>
      </c>
      <c r="B105" s="1">
        <f>VLOOKUP(E105,'[2]Peajes (1)'!$A:$D,4,0)</f>
        <v>3824</v>
      </c>
      <c r="C105" s="3" t="s">
        <v>166</v>
      </c>
      <c r="D105" s="3" t="s">
        <v>167</v>
      </c>
      <c r="E105" s="3" t="s">
        <v>168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113653</v>
      </c>
      <c r="AK105" s="6">
        <v>102756</v>
      </c>
      <c r="AL105" s="6">
        <v>94356</v>
      </c>
      <c r="AM105" s="6">
        <v>114494</v>
      </c>
      <c r="AN105" s="6">
        <v>103254</v>
      </c>
      <c r="AO105" s="6">
        <v>111372</v>
      </c>
      <c r="AP105" s="6">
        <v>144933</v>
      </c>
      <c r="AQ105" s="6">
        <v>91469</v>
      </c>
      <c r="AR105" s="6">
        <v>99798</v>
      </c>
      <c r="AS105" s="6">
        <v>108631</v>
      </c>
      <c r="AT105" s="6">
        <v>103970</v>
      </c>
      <c r="AU105" s="6">
        <v>109220</v>
      </c>
      <c r="AV105" s="6">
        <v>120268</v>
      </c>
      <c r="AW105" s="6">
        <v>105789</v>
      </c>
      <c r="AX105" s="6">
        <v>97302</v>
      </c>
      <c r="AY105" s="6">
        <v>113483</v>
      </c>
      <c r="AZ105" s="6">
        <v>110749</v>
      </c>
      <c r="BA105" s="6">
        <v>134094</v>
      </c>
      <c r="BB105" s="6">
        <v>122738</v>
      </c>
      <c r="BC105" s="6">
        <v>91246</v>
      </c>
      <c r="BD105" s="6">
        <v>114366</v>
      </c>
      <c r="BE105" s="6">
        <v>102598</v>
      </c>
      <c r="BF105" s="6">
        <v>110179</v>
      </c>
      <c r="BG105" s="6">
        <v>132218</v>
      </c>
      <c r="BH105" s="6">
        <v>128548</v>
      </c>
      <c r="BI105" s="6">
        <v>108994</v>
      </c>
      <c r="BJ105" s="6">
        <v>105747</v>
      </c>
      <c r="BK105" s="6">
        <v>114501</v>
      </c>
      <c r="BL105" s="6">
        <v>111665</v>
      </c>
      <c r="BM105" s="6">
        <v>137566</v>
      </c>
    </row>
    <row r="106" spans="1:65" x14ac:dyDescent="0.25">
      <c r="A106" s="1">
        <v>15</v>
      </c>
      <c r="B106" s="1">
        <f>VLOOKUP(E106,'[2]Peajes (1)'!$A:$D,4,0)</f>
        <v>3855</v>
      </c>
      <c r="C106" s="3" t="s">
        <v>21</v>
      </c>
      <c r="D106" s="3" t="s">
        <v>22</v>
      </c>
      <c r="E106" s="3" t="s">
        <v>24</v>
      </c>
      <c r="F106" s="6">
        <v>32734</v>
      </c>
      <c r="G106" s="6">
        <v>34260</v>
      </c>
      <c r="H106" s="6">
        <v>36647</v>
      </c>
      <c r="I106" s="6">
        <v>33187</v>
      </c>
      <c r="J106" s="6">
        <v>34879</v>
      </c>
      <c r="K106" s="6">
        <v>28032</v>
      </c>
      <c r="L106" s="6">
        <v>27237</v>
      </c>
      <c r="M106" s="6">
        <v>32748</v>
      </c>
      <c r="N106" s="6">
        <v>35001</v>
      </c>
      <c r="O106" s="6">
        <v>37131</v>
      </c>
      <c r="P106" s="6">
        <v>36340</v>
      </c>
      <c r="Q106" s="6">
        <v>37090</v>
      </c>
      <c r="R106" s="6">
        <v>35763</v>
      </c>
      <c r="S106" s="6">
        <v>34828</v>
      </c>
      <c r="T106" s="6">
        <v>40851</v>
      </c>
      <c r="U106" s="6">
        <v>38947</v>
      </c>
      <c r="V106" s="6">
        <v>40089</v>
      </c>
      <c r="W106" s="6">
        <v>34568</v>
      </c>
      <c r="X106" s="6">
        <v>32776</v>
      </c>
      <c r="Y106" s="6">
        <v>39939</v>
      </c>
      <c r="Z106" s="6">
        <v>41656</v>
      </c>
      <c r="AA106" s="6">
        <v>39996</v>
      </c>
      <c r="AB106" s="6">
        <v>40196</v>
      </c>
      <c r="AC106" s="6">
        <v>39895</v>
      </c>
      <c r="AD106" s="6">
        <v>40298</v>
      </c>
      <c r="AE106" s="6">
        <v>42069</v>
      </c>
      <c r="AF106" s="6">
        <v>42931</v>
      </c>
      <c r="AG106" s="6">
        <v>45849</v>
      </c>
      <c r="AH106" s="6">
        <v>47031</v>
      </c>
      <c r="AI106" s="6">
        <v>37946</v>
      </c>
      <c r="AJ106" s="6">
        <v>32533</v>
      </c>
      <c r="AK106" s="6">
        <v>37712</v>
      </c>
      <c r="AL106" s="6">
        <v>38920</v>
      </c>
      <c r="AM106" s="6">
        <v>29337</v>
      </c>
      <c r="AN106" s="6">
        <v>27283</v>
      </c>
      <c r="AO106" s="6">
        <v>27521</v>
      </c>
      <c r="AP106" s="6">
        <v>32914</v>
      </c>
      <c r="AQ106" s="6">
        <v>28440</v>
      </c>
      <c r="AR106" s="6">
        <v>34582</v>
      </c>
      <c r="AS106" s="6">
        <v>32249</v>
      </c>
      <c r="AT106" s="6">
        <v>38477</v>
      </c>
      <c r="AU106" s="6">
        <v>35054</v>
      </c>
      <c r="AV106" s="6">
        <v>32369</v>
      </c>
      <c r="AW106" s="6">
        <v>40902</v>
      </c>
      <c r="AX106" s="6">
        <v>45714</v>
      </c>
      <c r="AY106" s="6">
        <v>47437</v>
      </c>
      <c r="AZ106" s="6">
        <v>52801</v>
      </c>
      <c r="BA106" s="6">
        <v>46911</v>
      </c>
      <c r="BB106" s="6">
        <v>48567</v>
      </c>
      <c r="BC106" s="6">
        <v>44770</v>
      </c>
      <c r="BD106" s="6">
        <v>50705</v>
      </c>
      <c r="BE106" s="6">
        <v>56273</v>
      </c>
      <c r="BF106" s="6">
        <v>56995</v>
      </c>
      <c r="BG106" s="6">
        <v>44371</v>
      </c>
      <c r="BH106" s="6">
        <v>134189</v>
      </c>
      <c r="BI106" s="6">
        <v>54368</v>
      </c>
      <c r="BJ106" s="6">
        <v>55416</v>
      </c>
      <c r="BK106" s="6">
        <v>55238</v>
      </c>
      <c r="BL106" s="6">
        <v>54656</v>
      </c>
      <c r="BM106" s="6">
        <v>51989</v>
      </c>
    </row>
    <row r="107" spans="1:65" x14ac:dyDescent="0.25">
      <c r="A107" s="1">
        <v>37</v>
      </c>
      <c r="B107" s="1">
        <f>VLOOKUP(E107,'[2]Peajes (1)'!$A:$D,4,0)</f>
        <v>3963</v>
      </c>
      <c r="C107" s="3" t="s">
        <v>53</v>
      </c>
      <c r="D107" s="3" t="s">
        <v>54</v>
      </c>
      <c r="E107" s="3" t="s">
        <v>58</v>
      </c>
      <c r="F107" s="6">
        <v>94659</v>
      </c>
      <c r="G107" s="6">
        <v>61616</v>
      </c>
      <c r="H107" s="6">
        <v>62094</v>
      </c>
      <c r="I107" s="6">
        <v>70531</v>
      </c>
      <c r="J107" s="6">
        <v>63286</v>
      </c>
      <c r="K107" s="6">
        <v>62261</v>
      </c>
      <c r="L107" s="6">
        <v>69657</v>
      </c>
      <c r="M107" s="6">
        <v>65240</v>
      </c>
      <c r="N107" s="6">
        <v>64780</v>
      </c>
      <c r="O107" s="6">
        <v>73629</v>
      </c>
      <c r="P107" s="6">
        <v>77843</v>
      </c>
      <c r="Q107" s="6">
        <v>89048</v>
      </c>
      <c r="R107" s="6">
        <v>73361</v>
      </c>
      <c r="S107" s="6">
        <v>64545</v>
      </c>
      <c r="T107" s="6">
        <v>72021</v>
      </c>
      <c r="U107" s="6">
        <v>67248</v>
      </c>
      <c r="V107" s="6">
        <v>71017</v>
      </c>
      <c r="W107" s="6">
        <v>72793</v>
      </c>
      <c r="X107" s="6">
        <v>78701</v>
      </c>
      <c r="Y107" s="6">
        <v>67179</v>
      </c>
      <c r="Z107" s="6">
        <v>33025</v>
      </c>
      <c r="AA107" s="6">
        <v>26958</v>
      </c>
      <c r="AB107" s="6">
        <v>27430</v>
      </c>
      <c r="AC107" s="6">
        <v>34000</v>
      </c>
      <c r="AD107" s="6">
        <v>29217</v>
      </c>
      <c r="AE107" s="6">
        <v>29308</v>
      </c>
      <c r="AF107" s="6">
        <v>33678</v>
      </c>
      <c r="AG107" s="6">
        <v>32501</v>
      </c>
      <c r="AH107" s="6">
        <v>35310</v>
      </c>
      <c r="AI107" s="6">
        <v>35470</v>
      </c>
      <c r="AJ107" s="6">
        <v>43485</v>
      </c>
      <c r="AK107" s="6">
        <v>51105</v>
      </c>
      <c r="AL107" s="6">
        <v>52437</v>
      </c>
      <c r="AM107" s="6">
        <v>56258</v>
      </c>
      <c r="AN107" s="6">
        <v>56877</v>
      </c>
      <c r="AO107" s="6">
        <v>61276</v>
      </c>
      <c r="AP107" s="6">
        <v>59840</v>
      </c>
      <c r="AQ107" s="6">
        <v>54269</v>
      </c>
      <c r="AR107" s="6">
        <v>56684</v>
      </c>
      <c r="AS107" s="6">
        <v>54516</v>
      </c>
      <c r="AT107" s="6">
        <v>53329</v>
      </c>
      <c r="AU107" s="6">
        <v>52557</v>
      </c>
      <c r="AV107" s="6">
        <v>61615</v>
      </c>
      <c r="AW107" s="6">
        <v>70409</v>
      </c>
      <c r="AX107" s="6">
        <v>68900</v>
      </c>
      <c r="AY107" s="6">
        <v>71289</v>
      </c>
      <c r="AZ107" s="6">
        <v>72779</v>
      </c>
      <c r="BA107" s="6">
        <v>89419</v>
      </c>
      <c r="BB107" s="6">
        <v>77902</v>
      </c>
      <c r="BC107" s="6">
        <v>63791</v>
      </c>
      <c r="BD107" s="6">
        <v>59363</v>
      </c>
      <c r="BE107" s="6">
        <v>58706</v>
      </c>
      <c r="BF107" s="6">
        <v>53101</v>
      </c>
      <c r="BG107" s="6">
        <v>52875</v>
      </c>
      <c r="BH107" s="6">
        <v>64956</v>
      </c>
      <c r="BI107" s="6">
        <v>64174</v>
      </c>
      <c r="BJ107" s="6">
        <v>61102</v>
      </c>
      <c r="BK107" s="6">
        <v>64745</v>
      </c>
      <c r="BL107" s="6">
        <v>65382</v>
      </c>
      <c r="BM107" s="6">
        <v>89188</v>
      </c>
    </row>
    <row r="108" spans="1:65" x14ac:dyDescent="0.25">
      <c r="A108" s="1">
        <v>73</v>
      </c>
      <c r="B108" s="1">
        <f>VLOOKUP(E108,'[2]Peajes (1)'!$A:$D,4,0)</f>
        <v>4000</v>
      </c>
      <c r="C108" s="3" t="s">
        <v>100</v>
      </c>
      <c r="D108" s="3" t="s">
        <v>101</v>
      </c>
      <c r="E108" s="3" t="s">
        <v>105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85169</v>
      </c>
      <c r="AS108" s="6">
        <v>92529</v>
      </c>
      <c r="AT108" s="6">
        <v>85672</v>
      </c>
      <c r="AU108" s="6">
        <v>89215</v>
      </c>
      <c r="AV108" s="6">
        <v>90760</v>
      </c>
      <c r="AW108" s="6">
        <v>87697</v>
      </c>
      <c r="AX108" s="6">
        <v>83603</v>
      </c>
      <c r="AY108" s="6">
        <v>86849</v>
      </c>
      <c r="AZ108" s="6">
        <v>84735</v>
      </c>
      <c r="BA108" s="6">
        <v>97173</v>
      </c>
      <c r="BB108" s="6">
        <v>101880</v>
      </c>
      <c r="BC108" s="6">
        <v>76785</v>
      </c>
      <c r="BD108" s="6">
        <v>90347</v>
      </c>
      <c r="BE108" s="6">
        <v>84457</v>
      </c>
      <c r="BF108" s="6">
        <v>80123</v>
      </c>
      <c r="BG108" s="6">
        <v>81435</v>
      </c>
      <c r="BH108" s="6">
        <v>86212</v>
      </c>
      <c r="BI108" s="6">
        <v>88206</v>
      </c>
      <c r="BJ108" s="6">
        <v>81762</v>
      </c>
      <c r="BK108" s="6">
        <v>87890</v>
      </c>
      <c r="BL108" s="6">
        <v>84942</v>
      </c>
      <c r="BM108" s="6">
        <v>96527</v>
      </c>
    </row>
    <row r="109" spans="1:65" x14ac:dyDescent="0.25">
      <c r="A109" s="1">
        <v>43</v>
      </c>
      <c r="B109" s="1">
        <f>VLOOKUP(E109,'[2]Peajes (1)'!$A:$D,4,0)</f>
        <v>5205</v>
      </c>
      <c r="C109" s="3" t="s">
        <v>59</v>
      </c>
      <c r="D109" s="3" t="s">
        <v>60</v>
      </c>
      <c r="E109" s="3" t="s">
        <v>66</v>
      </c>
      <c r="F109" s="6">
        <v>21242</v>
      </c>
      <c r="G109" s="6">
        <v>18609</v>
      </c>
      <c r="H109" s="6">
        <v>21415</v>
      </c>
      <c r="I109" s="6">
        <v>20394</v>
      </c>
      <c r="J109" s="6">
        <v>24591</v>
      </c>
      <c r="K109" s="6">
        <v>20095</v>
      </c>
      <c r="L109" s="6">
        <v>21377</v>
      </c>
      <c r="M109" s="6">
        <v>20291</v>
      </c>
      <c r="N109" s="6">
        <v>21908</v>
      </c>
      <c r="O109" s="6">
        <v>21977</v>
      </c>
      <c r="P109" s="6">
        <v>20057</v>
      </c>
      <c r="Q109" s="6">
        <v>24191</v>
      </c>
      <c r="R109" s="6">
        <v>24359</v>
      </c>
      <c r="S109" s="6">
        <v>19311</v>
      </c>
      <c r="T109" s="6">
        <v>23766</v>
      </c>
      <c r="U109" s="6">
        <v>20986</v>
      </c>
      <c r="V109" s="6">
        <v>23463</v>
      </c>
      <c r="W109" s="6">
        <v>22954</v>
      </c>
      <c r="X109" s="6">
        <v>25468</v>
      </c>
      <c r="Y109" s="6">
        <v>23842</v>
      </c>
      <c r="Z109" s="6">
        <v>23860</v>
      </c>
      <c r="AA109" s="6">
        <v>24953</v>
      </c>
      <c r="AB109" s="6">
        <v>28070</v>
      </c>
      <c r="AC109" s="6">
        <v>32056</v>
      </c>
      <c r="AD109" s="6">
        <v>25437</v>
      </c>
      <c r="AE109" s="6">
        <v>22339</v>
      </c>
      <c r="AF109" s="6">
        <v>24585</v>
      </c>
      <c r="AG109" s="6">
        <v>24152</v>
      </c>
      <c r="AH109" s="6">
        <v>25983</v>
      </c>
      <c r="AI109" s="6">
        <v>26254</v>
      </c>
      <c r="AJ109" s="6">
        <v>29884</v>
      </c>
      <c r="AK109" s="6">
        <v>26939</v>
      </c>
      <c r="AL109" s="6">
        <v>26701</v>
      </c>
      <c r="AM109" s="6">
        <v>27635</v>
      </c>
      <c r="AN109" s="6">
        <v>25843</v>
      </c>
      <c r="AO109" s="6">
        <v>30527</v>
      </c>
      <c r="AP109" s="6">
        <v>28200</v>
      </c>
      <c r="AQ109" s="6">
        <v>24514</v>
      </c>
      <c r="AR109" s="6">
        <v>26640</v>
      </c>
      <c r="AS109" s="6">
        <v>27341</v>
      </c>
      <c r="AT109" s="6">
        <v>26187</v>
      </c>
      <c r="AU109" s="6">
        <v>27351</v>
      </c>
      <c r="AV109" s="6">
        <v>29337</v>
      </c>
      <c r="AW109" s="6">
        <v>27432</v>
      </c>
      <c r="AX109" s="6">
        <v>25732</v>
      </c>
      <c r="AY109" s="6">
        <v>27677</v>
      </c>
      <c r="AZ109" s="6">
        <v>27789</v>
      </c>
      <c r="BA109" s="6">
        <v>33442</v>
      </c>
      <c r="BB109" s="6">
        <v>28642</v>
      </c>
      <c r="BC109" s="6">
        <v>26527</v>
      </c>
      <c r="BD109" s="6">
        <v>30714</v>
      </c>
      <c r="BE109" s="6">
        <v>30514</v>
      </c>
      <c r="BF109" s="6">
        <v>27657</v>
      </c>
      <c r="BG109" s="6">
        <v>27886</v>
      </c>
      <c r="BH109" s="6">
        <v>29668</v>
      </c>
      <c r="BI109" s="6">
        <v>29391</v>
      </c>
      <c r="BJ109" s="6">
        <v>27646</v>
      </c>
      <c r="BK109" s="6">
        <v>29843</v>
      </c>
      <c r="BL109" s="6">
        <v>0</v>
      </c>
      <c r="BM109" s="6">
        <v>0</v>
      </c>
    </row>
    <row r="110" spans="1:65" x14ac:dyDescent="0.25">
      <c r="A110" s="1">
        <v>3</v>
      </c>
      <c r="B110" s="1">
        <f>VLOOKUP(E110,'[2]Peajes (1)'!$A:$D,4,0)</f>
        <v>3957</v>
      </c>
      <c r="C110" s="3" t="s">
        <v>4</v>
      </c>
      <c r="D110" s="3" t="s">
        <v>5</v>
      </c>
      <c r="E110" s="3" t="s">
        <v>244</v>
      </c>
      <c r="F110" s="6">
        <v>119245</v>
      </c>
      <c r="G110" s="6">
        <v>110357</v>
      </c>
      <c r="H110" s="6">
        <v>123589</v>
      </c>
      <c r="I110" s="6">
        <v>109017</v>
      </c>
      <c r="J110" s="6">
        <v>100533</v>
      </c>
      <c r="K110" s="6">
        <v>96463</v>
      </c>
      <c r="L110" s="6">
        <v>101991</v>
      </c>
      <c r="M110" s="6">
        <v>103155</v>
      </c>
      <c r="N110" s="6">
        <v>93281</v>
      </c>
      <c r="O110" s="6">
        <v>101137</v>
      </c>
      <c r="P110" s="6">
        <v>97157</v>
      </c>
      <c r="Q110" s="6">
        <v>117189</v>
      </c>
      <c r="R110" s="6">
        <v>125741</v>
      </c>
      <c r="S110" s="6">
        <v>100019</v>
      </c>
      <c r="T110" s="6">
        <v>103445</v>
      </c>
      <c r="U110" s="6">
        <v>111368</v>
      </c>
      <c r="V110" s="6">
        <v>132227</v>
      </c>
      <c r="W110" s="6">
        <v>128019</v>
      </c>
      <c r="X110" s="6">
        <v>119664</v>
      </c>
      <c r="Y110" s="6">
        <v>106049</v>
      </c>
      <c r="Z110" s="6">
        <v>97156</v>
      </c>
      <c r="AA110" s="6">
        <v>104957</v>
      </c>
      <c r="AB110" s="6">
        <v>101157</v>
      </c>
      <c r="AC110" s="6">
        <v>126314</v>
      </c>
      <c r="AD110" s="6">
        <v>128523</v>
      </c>
      <c r="AE110" s="6">
        <v>88179</v>
      </c>
      <c r="AF110" s="6">
        <v>103801</v>
      </c>
      <c r="AG110" s="6">
        <v>90936</v>
      </c>
      <c r="AH110" s="6">
        <v>97476</v>
      </c>
      <c r="AI110" s="6">
        <v>97013</v>
      </c>
      <c r="AJ110" s="6">
        <v>105797</v>
      </c>
      <c r="AK110" s="6">
        <v>101695</v>
      </c>
      <c r="AL110" s="6">
        <v>95892</v>
      </c>
      <c r="AM110" s="6">
        <v>108653</v>
      </c>
      <c r="AN110" s="6">
        <v>104341</v>
      </c>
      <c r="AO110" s="6">
        <v>122900</v>
      </c>
      <c r="AP110" s="6">
        <v>133414</v>
      </c>
      <c r="AQ110" s="6">
        <v>89532</v>
      </c>
      <c r="AR110" s="6">
        <v>102439</v>
      </c>
      <c r="AS110" s="6">
        <v>107951</v>
      </c>
      <c r="AT110" s="6">
        <v>129959</v>
      </c>
      <c r="AU110" s="6">
        <v>106654</v>
      </c>
      <c r="AV110" s="6">
        <v>110250</v>
      </c>
      <c r="AW110" s="6">
        <v>110073</v>
      </c>
      <c r="AX110" s="6">
        <v>102454</v>
      </c>
      <c r="AY110" s="6">
        <v>113191</v>
      </c>
      <c r="AZ110" s="6">
        <v>125305</v>
      </c>
      <c r="BA110" s="6">
        <v>133530</v>
      </c>
      <c r="BB110" s="6">
        <v>140770</v>
      </c>
      <c r="BC110" s="6">
        <v>102959</v>
      </c>
      <c r="BD110" s="6">
        <v>117668</v>
      </c>
      <c r="BE110" s="6">
        <v>107033</v>
      </c>
      <c r="BF110" s="6">
        <v>109986</v>
      </c>
      <c r="BG110" s="6">
        <v>93357</v>
      </c>
      <c r="BH110" s="6">
        <v>118587</v>
      </c>
      <c r="BI110" s="6">
        <v>118063</v>
      </c>
      <c r="BJ110" s="6">
        <v>104595</v>
      </c>
      <c r="BK110" s="6">
        <v>114612</v>
      </c>
      <c r="BL110" s="6">
        <v>109240</v>
      </c>
      <c r="BM110" s="6">
        <v>128892</v>
      </c>
    </row>
    <row r="111" spans="1:65" x14ac:dyDescent="0.25">
      <c r="A111" s="1">
        <v>103</v>
      </c>
      <c r="B111" s="1">
        <f>VLOOKUP(E111,'[2]Peajes (1)'!$A:$D,4,0)</f>
        <v>3967</v>
      </c>
      <c r="C111" s="3" t="s">
        <v>157</v>
      </c>
      <c r="D111" s="3" t="s">
        <v>158</v>
      </c>
      <c r="E111" s="3" t="s">
        <v>245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63458</v>
      </c>
      <c r="AK111" s="6">
        <v>67890</v>
      </c>
      <c r="AL111" s="6">
        <v>62212</v>
      </c>
      <c r="AM111" s="6">
        <v>67676</v>
      </c>
      <c r="AN111" s="6">
        <v>65586</v>
      </c>
      <c r="AO111" s="6">
        <v>78025</v>
      </c>
      <c r="AP111" s="6">
        <v>78911</v>
      </c>
      <c r="AQ111" s="6">
        <v>59808</v>
      </c>
      <c r="AR111" s="6">
        <v>63877</v>
      </c>
      <c r="AS111" s="6">
        <v>69824</v>
      </c>
      <c r="AT111" s="6">
        <v>66248</v>
      </c>
      <c r="AU111" s="6">
        <v>67052</v>
      </c>
      <c r="AV111" s="6">
        <v>70060</v>
      </c>
      <c r="AW111" s="6">
        <v>69410</v>
      </c>
      <c r="AX111" s="6">
        <v>65560</v>
      </c>
      <c r="AY111" s="6">
        <v>73544</v>
      </c>
      <c r="AZ111" s="6">
        <v>70531</v>
      </c>
      <c r="BA111" s="6">
        <v>84042</v>
      </c>
      <c r="BB111" s="6">
        <v>82269</v>
      </c>
      <c r="BC111" s="6">
        <v>59850</v>
      </c>
      <c r="BD111" s="6">
        <v>71445</v>
      </c>
      <c r="BE111" s="6">
        <v>69528</v>
      </c>
      <c r="BF111" s="6">
        <v>51792</v>
      </c>
      <c r="BG111" s="6">
        <v>68859</v>
      </c>
      <c r="BH111" s="6">
        <v>73328</v>
      </c>
      <c r="BI111" s="6">
        <v>71906</v>
      </c>
      <c r="BJ111" s="6">
        <v>66187</v>
      </c>
      <c r="BK111" s="6">
        <v>71078</v>
      </c>
      <c r="BL111" s="6">
        <v>67532</v>
      </c>
      <c r="BM111" s="6">
        <v>87229</v>
      </c>
    </row>
    <row r="112" spans="1:65" x14ac:dyDescent="0.25">
      <c r="A112" s="1">
        <v>13</v>
      </c>
      <c r="B112" s="1">
        <f>VLOOKUP(E112,'[2]Peajes (1)'!$A:$D,4,0)</f>
        <v>3885</v>
      </c>
      <c r="C112" s="3" t="s">
        <v>17</v>
      </c>
      <c r="D112" s="3" t="s">
        <v>18</v>
      </c>
      <c r="E112" s="3" t="s">
        <v>20</v>
      </c>
      <c r="F112" s="6">
        <v>348866</v>
      </c>
      <c r="G112" s="6">
        <v>240257</v>
      </c>
      <c r="H112" s="6">
        <v>286677</v>
      </c>
      <c r="I112" s="6">
        <v>315141</v>
      </c>
      <c r="J112" s="6">
        <v>279264</v>
      </c>
      <c r="K112" s="6">
        <v>310398</v>
      </c>
      <c r="L112" s="6">
        <v>293076</v>
      </c>
      <c r="M112" s="6">
        <v>306237</v>
      </c>
      <c r="N112" s="6">
        <v>267331</v>
      </c>
      <c r="O112" s="6">
        <v>314639</v>
      </c>
      <c r="P112" s="6">
        <v>294815</v>
      </c>
      <c r="Q112" s="6">
        <v>357431</v>
      </c>
      <c r="R112" s="6">
        <v>363659</v>
      </c>
      <c r="S112" s="6">
        <v>244612</v>
      </c>
      <c r="T112" s="6">
        <v>283508</v>
      </c>
      <c r="U112" s="6">
        <v>287437</v>
      </c>
      <c r="V112" s="6">
        <v>288200</v>
      </c>
      <c r="W112" s="6">
        <v>329437</v>
      </c>
      <c r="X112" s="6">
        <v>330786</v>
      </c>
      <c r="Y112" s="6">
        <v>325704</v>
      </c>
      <c r="Z112" s="6">
        <v>286153</v>
      </c>
      <c r="AA112" s="6">
        <v>338790</v>
      </c>
      <c r="AB112" s="6">
        <v>314425</v>
      </c>
      <c r="AC112" s="6">
        <v>383001</v>
      </c>
      <c r="AD112" s="6">
        <v>383422</v>
      </c>
      <c r="AE112" s="6">
        <v>263307</v>
      </c>
      <c r="AF112" s="6">
        <v>319108</v>
      </c>
      <c r="AG112" s="6">
        <v>253478</v>
      </c>
      <c r="AH112" s="6">
        <v>281955</v>
      </c>
      <c r="AI112" s="6">
        <v>282980</v>
      </c>
      <c r="AJ112" s="6">
        <v>300970</v>
      </c>
      <c r="AK112" s="6">
        <v>287844</v>
      </c>
      <c r="AL112" s="6">
        <v>266136</v>
      </c>
      <c r="AM112" s="6">
        <v>314772</v>
      </c>
      <c r="AN112" s="6">
        <v>296512</v>
      </c>
      <c r="AO112" s="6">
        <v>354844</v>
      </c>
      <c r="AP112" s="6">
        <v>370514</v>
      </c>
      <c r="AQ112" s="6">
        <v>247813</v>
      </c>
      <c r="AR112" s="6">
        <v>287714</v>
      </c>
      <c r="AS112" s="6">
        <v>314638</v>
      </c>
      <c r="AT112" s="6">
        <v>276057</v>
      </c>
      <c r="AU112" s="6">
        <v>279307</v>
      </c>
      <c r="AV112" s="6">
        <v>283106</v>
      </c>
      <c r="AW112" s="6">
        <v>304890</v>
      </c>
      <c r="AX112" s="6">
        <v>266286</v>
      </c>
      <c r="AY112" s="6">
        <v>314050</v>
      </c>
      <c r="AZ112" s="6">
        <v>295676</v>
      </c>
      <c r="BA112" s="6">
        <v>373668</v>
      </c>
      <c r="BB112" s="6">
        <v>372908</v>
      </c>
      <c r="BC112" s="6">
        <v>223727</v>
      </c>
      <c r="BD112" s="6">
        <v>310837</v>
      </c>
      <c r="BE112" s="6">
        <v>273412</v>
      </c>
      <c r="BF112" s="6">
        <v>255888</v>
      </c>
      <c r="BG112" s="6">
        <v>295927</v>
      </c>
      <c r="BH112" s="6">
        <v>283925</v>
      </c>
      <c r="BI112" s="6">
        <v>238006</v>
      </c>
      <c r="BJ112" s="6">
        <v>232825</v>
      </c>
      <c r="BK112" s="6">
        <v>298317</v>
      </c>
      <c r="BL112" s="6">
        <v>293347</v>
      </c>
      <c r="BM112" s="6">
        <v>361040</v>
      </c>
    </row>
    <row r="113" spans="1:65" x14ac:dyDescent="0.25">
      <c r="A113" s="1">
        <v>83</v>
      </c>
      <c r="B113" s="1">
        <f>VLOOKUP(E113,'[2]Peajes (1)'!$A:$D,4,0)</f>
        <v>3915</v>
      </c>
      <c r="C113" s="3" t="s">
        <v>112</v>
      </c>
      <c r="D113" s="3" t="s">
        <v>113</v>
      </c>
      <c r="E113" s="3" t="s">
        <v>119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33448</v>
      </c>
      <c r="V113" s="6">
        <v>65259</v>
      </c>
      <c r="W113" s="6">
        <v>66510</v>
      </c>
      <c r="X113" s="6">
        <v>67801</v>
      </c>
      <c r="Y113" s="6">
        <v>67524</v>
      </c>
      <c r="Z113" s="6">
        <v>63817</v>
      </c>
      <c r="AA113" s="6">
        <v>66225</v>
      </c>
      <c r="AB113" s="6">
        <v>65628</v>
      </c>
      <c r="AC113" s="6">
        <v>75735</v>
      </c>
      <c r="AD113" s="6">
        <v>78224</v>
      </c>
      <c r="AE113" s="6">
        <v>58097</v>
      </c>
      <c r="AF113" s="6">
        <v>67922</v>
      </c>
      <c r="AG113" s="6">
        <v>66343</v>
      </c>
      <c r="AH113" s="6">
        <v>64141</v>
      </c>
      <c r="AI113" s="6">
        <v>64349</v>
      </c>
      <c r="AJ113" s="6">
        <v>60989</v>
      </c>
      <c r="AK113" s="6">
        <v>67511</v>
      </c>
      <c r="AL113" s="6">
        <v>61066</v>
      </c>
      <c r="AM113" s="6">
        <v>67328</v>
      </c>
      <c r="AN113" s="6">
        <v>65985</v>
      </c>
      <c r="AO113" s="6">
        <v>73677</v>
      </c>
      <c r="AP113" s="6">
        <v>74927</v>
      </c>
      <c r="AQ113" s="6">
        <v>55560</v>
      </c>
      <c r="AR113" s="6">
        <v>58962</v>
      </c>
      <c r="AS113" s="6">
        <v>63888</v>
      </c>
      <c r="AT113" s="6">
        <v>60353</v>
      </c>
      <c r="AU113" s="6">
        <v>61926</v>
      </c>
      <c r="AV113" s="6">
        <v>63572</v>
      </c>
      <c r="AW113" s="6">
        <v>64759</v>
      </c>
      <c r="AX113" s="6">
        <v>63561</v>
      </c>
      <c r="AY113" s="6">
        <v>41770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</row>
    <row r="114" spans="1:65" x14ac:dyDescent="0.25">
      <c r="A114" s="1">
        <v>74</v>
      </c>
      <c r="B114" s="1" t="e">
        <f>VLOOKUP(E114,'[2]Peajes (1)'!$A:$D,4,0)</f>
        <v>#N/A</v>
      </c>
      <c r="C114" s="3" t="s">
        <v>100</v>
      </c>
      <c r="D114" s="3" t="s">
        <v>101</v>
      </c>
      <c r="E114" s="3" t="s">
        <v>106</v>
      </c>
      <c r="F114" s="6">
        <v>117989</v>
      </c>
      <c r="G114" s="6">
        <v>95314</v>
      </c>
      <c r="H114" s="6">
        <v>103997</v>
      </c>
      <c r="I114" s="6">
        <v>115285</v>
      </c>
      <c r="J114" s="6">
        <v>108890</v>
      </c>
      <c r="K114" s="6">
        <v>106166</v>
      </c>
      <c r="L114" s="6">
        <v>110461</v>
      </c>
      <c r="M114" s="6">
        <v>103416</v>
      </c>
      <c r="N114" s="6">
        <v>97292</v>
      </c>
      <c r="O114" s="6">
        <v>103821</v>
      </c>
      <c r="P114" s="6">
        <v>101197</v>
      </c>
      <c r="Q114" s="6">
        <v>121795</v>
      </c>
      <c r="R114" s="6">
        <v>84863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</row>
    <row r="115" spans="1:65" hidden="1" x14ac:dyDescent="0.25">
      <c r="A115" s="8">
        <v>29</v>
      </c>
      <c r="B115" s="1">
        <f>VLOOKUP(E115,'[2]Peajes (1)'!$A:$D,4,0)</f>
        <v>3925</v>
      </c>
      <c r="C115" s="8" t="s">
        <v>41</v>
      </c>
      <c r="D115" s="8" t="s">
        <v>42</v>
      </c>
      <c r="E115" s="8" t="s">
        <v>46</v>
      </c>
      <c r="F115" s="6">
        <v>311421</v>
      </c>
      <c r="G115" s="6">
        <v>240764</v>
      </c>
      <c r="H115" s="6">
        <v>268402</v>
      </c>
      <c r="I115" s="6">
        <v>272239</v>
      </c>
      <c r="J115" s="6">
        <v>263873</v>
      </c>
      <c r="K115" s="6">
        <v>260705</v>
      </c>
      <c r="L115" s="6">
        <v>261938</v>
      </c>
      <c r="M115" s="6">
        <v>280389</v>
      </c>
      <c r="N115" s="6">
        <v>259213</v>
      </c>
      <c r="O115" s="6">
        <v>278112</v>
      </c>
      <c r="P115" s="6">
        <v>271010</v>
      </c>
      <c r="Q115" s="6">
        <v>310740</v>
      </c>
      <c r="R115" s="6">
        <v>317931</v>
      </c>
      <c r="S115" s="6">
        <v>240406</v>
      </c>
      <c r="T115" s="6">
        <v>277074</v>
      </c>
      <c r="U115" s="6">
        <v>267354</v>
      </c>
      <c r="V115" s="6">
        <v>276893</v>
      </c>
      <c r="W115" s="6">
        <v>281550</v>
      </c>
      <c r="X115" s="6">
        <v>294161</v>
      </c>
      <c r="Y115" s="6">
        <v>298258</v>
      </c>
      <c r="Z115" s="6">
        <v>72824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</row>
    <row r="116" spans="1:65" hidden="1" x14ac:dyDescent="0.25">
      <c r="A116" s="8">
        <v>149</v>
      </c>
      <c r="B116" s="1">
        <f>VLOOKUP(E116,'[2]Peajes (1)'!$A:$D,4,0)</f>
        <v>3925</v>
      </c>
      <c r="C116" s="8" t="s">
        <v>225</v>
      </c>
      <c r="D116" s="8" t="s">
        <v>226</v>
      </c>
      <c r="E116" s="8" t="s">
        <v>46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205730</v>
      </c>
      <c r="AA116" s="6">
        <v>297386</v>
      </c>
      <c r="AB116" s="6">
        <v>289849</v>
      </c>
      <c r="AC116" s="6">
        <v>334839</v>
      </c>
      <c r="AD116" s="6">
        <v>343383</v>
      </c>
      <c r="AE116" s="6">
        <v>263257</v>
      </c>
      <c r="AF116" s="6">
        <v>302219</v>
      </c>
      <c r="AG116" s="6">
        <v>261428</v>
      </c>
      <c r="AH116" s="6">
        <v>282668</v>
      </c>
      <c r="AI116" s="6">
        <v>271290</v>
      </c>
      <c r="AJ116" s="6">
        <v>295371</v>
      </c>
      <c r="AK116" s="6">
        <v>290176</v>
      </c>
      <c r="AL116" s="6">
        <v>275589</v>
      </c>
      <c r="AM116" s="6">
        <v>291576</v>
      </c>
      <c r="AN116" s="6">
        <v>280986</v>
      </c>
      <c r="AO116" s="6">
        <v>323012</v>
      </c>
      <c r="AP116" s="6">
        <v>327313</v>
      </c>
      <c r="AQ116" s="6">
        <v>254317</v>
      </c>
      <c r="AR116" s="6">
        <v>282503</v>
      </c>
      <c r="AS116" s="6">
        <v>293850</v>
      </c>
      <c r="AT116" s="6">
        <v>279392</v>
      </c>
      <c r="AU116" s="6">
        <v>280413</v>
      </c>
      <c r="AV116" s="6">
        <v>288255</v>
      </c>
      <c r="AW116" s="6">
        <v>300598</v>
      </c>
      <c r="AX116" s="6">
        <v>277479</v>
      </c>
      <c r="AY116" s="6">
        <v>297785</v>
      </c>
      <c r="AZ116" s="6">
        <v>288114</v>
      </c>
      <c r="BA116" s="6">
        <v>345713</v>
      </c>
      <c r="BB116" s="6">
        <v>333206</v>
      </c>
      <c r="BC116" s="6">
        <v>258196</v>
      </c>
      <c r="BD116" s="6">
        <v>309511</v>
      </c>
      <c r="BE116" s="6">
        <v>274811</v>
      </c>
      <c r="BF116" s="6">
        <v>282843</v>
      </c>
      <c r="BG116" s="6">
        <v>282422</v>
      </c>
      <c r="BH116" s="6">
        <v>300120</v>
      </c>
      <c r="BI116" s="6">
        <v>298501</v>
      </c>
      <c r="BJ116" s="6">
        <v>281962</v>
      </c>
      <c r="BK116" s="6">
        <v>304137</v>
      </c>
      <c r="BL116" s="6">
        <v>297958</v>
      </c>
      <c r="BM116" s="6">
        <v>348076</v>
      </c>
    </row>
    <row r="117" spans="1:65" x14ac:dyDescent="0.25">
      <c r="A117" s="8">
        <v>149</v>
      </c>
      <c r="B117" s="1">
        <f>VLOOKUP(E117,'[2]Peajes (1)'!$A:$D,4,0)</f>
        <v>3925</v>
      </c>
      <c r="C117" s="8" t="s">
        <v>225</v>
      </c>
      <c r="D117" s="8" t="s">
        <v>226</v>
      </c>
      <c r="E117" s="8" t="s">
        <v>46</v>
      </c>
      <c r="F117" s="6">
        <f>SUM(F115:F116)</f>
        <v>311421</v>
      </c>
      <c r="G117" s="6">
        <f t="shared" ref="G117:BM117" si="10">SUM(G115:G116)</f>
        <v>240764</v>
      </c>
      <c r="H117" s="6">
        <f t="shared" si="10"/>
        <v>268402</v>
      </c>
      <c r="I117" s="6">
        <f t="shared" si="10"/>
        <v>272239</v>
      </c>
      <c r="J117" s="6">
        <f t="shared" si="10"/>
        <v>263873</v>
      </c>
      <c r="K117" s="6">
        <f t="shared" si="10"/>
        <v>260705</v>
      </c>
      <c r="L117" s="6">
        <f t="shared" si="10"/>
        <v>261938</v>
      </c>
      <c r="M117" s="6">
        <f t="shared" si="10"/>
        <v>280389</v>
      </c>
      <c r="N117" s="6">
        <f t="shared" si="10"/>
        <v>259213</v>
      </c>
      <c r="O117" s="6">
        <f t="shared" si="10"/>
        <v>278112</v>
      </c>
      <c r="P117" s="6">
        <f t="shared" si="10"/>
        <v>271010</v>
      </c>
      <c r="Q117" s="6">
        <f t="shared" si="10"/>
        <v>310740</v>
      </c>
      <c r="R117" s="6">
        <f t="shared" si="10"/>
        <v>317931</v>
      </c>
      <c r="S117" s="6">
        <f t="shared" si="10"/>
        <v>240406</v>
      </c>
      <c r="T117" s="6">
        <f t="shared" si="10"/>
        <v>277074</v>
      </c>
      <c r="U117" s="6">
        <f t="shared" si="10"/>
        <v>267354</v>
      </c>
      <c r="V117" s="6">
        <f t="shared" si="10"/>
        <v>276893</v>
      </c>
      <c r="W117" s="6">
        <f t="shared" si="10"/>
        <v>281550</v>
      </c>
      <c r="X117" s="6">
        <f t="shared" si="10"/>
        <v>294161</v>
      </c>
      <c r="Y117" s="6">
        <f t="shared" si="10"/>
        <v>298258</v>
      </c>
      <c r="Z117" s="6">
        <f t="shared" si="10"/>
        <v>278554</v>
      </c>
      <c r="AA117" s="6">
        <f t="shared" si="10"/>
        <v>297386</v>
      </c>
      <c r="AB117" s="6">
        <f t="shared" si="10"/>
        <v>289849</v>
      </c>
      <c r="AC117" s="6">
        <f t="shared" si="10"/>
        <v>334839</v>
      </c>
      <c r="AD117" s="6">
        <f t="shared" si="10"/>
        <v>343383</v>
      </c>
      <c r="AE117" s="6">
        <f t="shared" si="10"/>
        <v>263257</v>
      </c>
      <c r="AF117" s="6">
        <f t="shared" si="10"/>
        <v>302219</v>
      </c>
      <c r="AG117" s="6">
        <f t="shared" si="10"/>
        <v>261428</v>
      </c>
      <c r="AH117" s="6">
        <f t="shared" si="10"/>
        <v>282668</v>
      </c>
      <c r="AI117" s="6">
        <f t="shared" si="10"/>
        <v>271290</v>
      </c>
      <c r="AJ117" s="6">
        <f t="shared" si="10"/>
        <v>295371</v>
      </c>
      <c r="AK117" s="6">
        <f t="shared" si="10"/>
        <v>290176</v>
      </c>
      <c r="AL117" s="6">
        <f t="shared" si="10"/>
        <v>275589</v>
      </c>
      <c r="AM117" s="6">
        <f t="shared" si="10"/>
        <v>291576</v>
      </c>
      <c r="AN117" s="6">
        <f t="shared" si="10"/>
        <v>280986</v>
      </c>
      <c r="AO117" s="6">
        <f t="shared" si="10"/>
        <v>323012</v>
      </c>
      <c r="AP117" s="6">
        <f t="shared" si="10"/>
        <v>327313</v>
      </c>
      <c r="AQ117" s="6">
        <f t="shared" si="10"/>
        <v>254317</v>
      </c>
      <c r="AR117" s="6">
        <f t="shared" si="10"/>
        <v>282503</v>
      </c>
      <c r="AS117" s="6">
        <f t="shared" si="10"/>
        <v>293850</v>
      </c>
      <c r="AT117" s="6">
        <f t="shared" si="10"/>
        <v>279392</v>
      </c>
      <c r="AU117" s="6">
        <f t="shared" si="10"/>
        <v>280413</v>
      </c>
      <c r="AV117" s="6">
        <f t="shared" si="10"/>
        <v>288255</v>
      </c>
      <c r="AW117" s="6">
        <f t="shared" si="10"/>
        <v>300598</v>
      </c>
      <c r="AX117" s="6">
        <f t="shared" si="10"/>
        <v>277479</v>
      </c>
      <c r="AY117" s="6">
        <f t="shared" si="10"/>
        <v>297785</v>
      </c>
      <c r="AZ117" s="6">
        <f t="shared" si="10"/>
        <v>288114</v>
      </c>
      <c r="BA117" s="6">
        <f t="shared" si="10"/>
        <v>345713</v>
      </c>
      <c r="BB117" s="6">
        <f t="shared" si="10"/>
        <v>333206</v>
      </c>
      <c r="BC117" s="6">
        <f t="shared" si="10"/>
        <v>258196</v>
      </c>
      <c r="BD117" s="6">
        <f t="shared" si="10"/>
        <v>309511</v>
      </c>
      <c r="BE117" s="6">
        <f t="shared" si="10"/>
        <v>274811</v>
      </c>
      <c r="BF117" s="6">
        <f t="shared" si="10"/>
        <v>282843</v>
      </c>
      <c r="BG117" s="6">
        <f t="shared" si="10"/>
        <v>282422</v>
      </c>
      <c r="BH117" s="6">
        <f t="shared" si="10"/>
        <v>300120</v>
      </c>
      <c r="BI117" s="6">
        <f t="shared" si="10"/>
        <v>298501</v>
      </c>
      <c r="BJ117" s="6">
        <f t="shared" si="10"/>
        <v>281962</v>
      </c>
      <c r="BK117" s="6">
        <f t="shared" si="10"/>
        <v>304137</v>
      </c>
      <c r="BL117" s="6">
        <f t="shared" si="10"/>
        <v>297958</v>
      </c>
      <c r="BM117" s="6">
        <f t="shared" si="10"/>
        <v>348076</v>
      </c>
    </row>
    <row r="118" spans="1:65" x14ac:dyDescent="0.25">
      <c r="A118" s="1">
        <v>88</v>
      </c>
      <c r="B118" s="1">
        <f>VLOOKUP(E118,'[2]Peajes (1)'!$A:$D,4,0)</f>
        <v>3941</v>
      </c>
      <c r="C118" s="3" t="s">
        <v>121</v>
      </c>
      <c r="D118" s="3" t="s">
        <v>122</v>
      </c>
      <c r="E118" s="3" t="s">
        <v>126</v>
      </c>
      <c r="F118" s="6">
        <v>68168</v>
      </c>
      <c r="G118" s="6">
        <v>48658</v>
      </c>
      <c r="H118" s="6">
        <v>52805</v>
      </c>
      <c r="I118" s="6">
        <v>59923</v>
      </c>
      <c r="J118" s="6">
        <v>54512</v>
      </c>
      <c r="K118" s="6">
        <v>56868</v>
      </c>
      <c r="L118" s="6">
        <v>59976</v>
      </c>
      <c r="M118" s="6">
        <v>58582</v>
      </c>
      <c r="N118" s="6">
        <v>56898</v>
      </c>
      <c r="O118" s="6">
        <v>61717</v>
      </c>
      <c r="P118" s="6">
        <v>57919</v>
      </c>
      <c r="Q118" s="6">
        <v>68345</v>
      </c>
      <c r="R118" s="6">
        <v>71390</v>
      </c>
      <c r="S118" s="6">
        <v>57227</v>
      </c>
      <c r="T118" s="6">
        <v>64110</v>
      </c>
      <c r="U118" s="6">
        <v>64344</v>
      </c>
      <c r="V118" s="6">
        <v>63960</v>
      </c>
      <c r="W118" s="6">
        <v>65122</v>
      </c>
      <c r="X118" s="6">
        <v>70519</v>
      </c>
      <c r="Y118" s="6">
        <v>62758</v>
      </c>
      <c r="Z118" s="6">
        <v>58704</v>
      </c>
      <c r="AA118" s="6">
        <v>65091</v>
      </c>
      <c r="AB118" s="6">
        <v>63345</v>
      </c>
      <c r="AC118" s="6">
        <v>74538</v>
      </c>
      <c r="AD118" s="6">
        <v>82395</v>
      </c>
      <c r="AE118" s="6">
        <v>62384</v>
      </c>
      <c r="AF118" s="6">
        <v>69979</v>
      </c>
      <c r="AG118" s="6">
        <v>62315</v>
      </c>
      <c r="AH118" s="6">
        <v>57209</v>
      </c>
      <c r="AI118" s="6">
        <v>59130</v>
      </c>
      <c r="AJ118" s="6">
        <v>58659</v>
      </c>
      <c r="AK118" s="6">
        <v>60767</v>
      </c>
      <c r="AL118" s="6">
        <v>58477</v>
      </c>
      <c r="AM118" s="6">
        <v>62172</v>
      </c>
      <c r="AN118" s="6">
        <v>63233</v>
      </c>
      <c r="AO118" s="6">
        <v>73248</v>
      </c>
      <c r="AP118" s="6">
        <v>78462</v>
      </c>
      <c r="AQ118" s="6">
        <v>54795</v>
      </c>
      <c r="AR118" s="6">
        <v>60510</v>
      </c>
      <c r="AS118" s="6">
        <v>68624</v>
      </c>
      <c r="AT118" s="6">
        <v>60466</v>
      </c>
      <c r="AU118" s="6">
        <v>63014</v>
      </c>
      <c r="AV118" s="6">
        <v>63543</v>
      </c>
      <c r="AW118" s="6">
        <v>60838</v>
      </c>
      <c r="AX118" s="6">
        <v>58922</v>
      </c>
      <c r="AY118" s="6">
        <v>62634</v>
      </c>
      <c r="AZ118" s="6">
        <v>62167</v>
      </c>
      <c r="BA118" s="6">
        <v>73724</v>
      </c>
      <c r="BB118" s="6">
        <v>80253</v>
      </c>
      <c r="BC118" s="6">
        <v>55564</v>
      </c>
      <c r="BD118" s="6">
        <v>69226</v>
      </c>
      <c r="BE118" s="6">
        <v>64450</v>
      </c>
      <c r="BF118" s="6">
        <v>62389</v>
      </c>
      <c r="BG118" s="6">
        <v>68446</v>
      </c>
      <c r="BH118" s="6">
        <v>67911</v>
      </c>
      <c r="BI118" s="6">
        <v>65794</v>
      </c>
      <c r="BJ118" s="6">
        <v>63330</v>
      </c>
      <c r="BK118" s="6">
        <v>67286</v>
      </c>
      <c r="BL118" s="6">
        <v>64718</v>
      </c>
      <c r="BM118" s="6">
        <v>77509</v>
      </c>
    </row>
    <row r="119" spans="1:65" s="10" customFormat="1" x14ac:dyDescent="0.25">
      <c r="A119" s="1">
        <v>12</v>
      </c>
      <c r="B119" s="1">
        <f>VLOOKUP(E119,'[2]Peajes (1)'!$A:$D,4,0)</f>
        <v>3997</v>
      </c>
      <c r="C119" s="3" t="s">
        <v>17</v>
      </c>
      <c r="D119" s="3" t="s">
        <v>18</v>
      </c>
      <c r="E119" s="3" t="s">
        <v>246</v>
      </c>
      <c r="F119" s="6">
        <v>362237</v>
      </c>
      <c r="G119" s="6">
        <v>252262</v>
      </c>
      <c r="H119" s="6">
        <v>300201</v>
      </c>
      <c r="I119" s="6">
        <v>329495</v>
      </c>
      <c r="J119" s="6">
        <v>294179</v>
      </c>
      <c r="K119" s="6">
        <v>321517</v>
      </c>
      <c r="L119" s="6">
        <v>305670</v>
      </c>
      <c r="M119" s="6">
        <v>318401</v>
      </c>
      <c r="N119" s="6">
        <v>280149</v>
      </c>
      <c r="O119" s="6">
        <v>330105</v>
      </c>
      <c r="P119" s="6">
        <v>308120</v>
      </c>
      <c r="Q119" s="6">
        <v>368582</v>
      </c>
      <c r="R119" s="6">
        <v>375502</v>
      </c>
      <c r="S119" s="6">
        <v>257233</v>
      </c>
      <c r="T119" s="6">
        <v>297150</v>
      </c>
      <c r="U119" s="6">
        <v>301306</v>
      </c>
      <c r="V119" s="6">
        <v>301266</v>
      </c>
      <c r="W119" s="6">
        <v>340581</v>
      </c>
      <c r="X119" s="6">
        <v>344740</v>
      </c>
      <c r="Y119" s="6">
        <v>339370</v>
      </c>
      <c r="Z119" s="6">
        <v>299596</v>
      </c>
      <c r="AA119" s="6">
        <v>353666</v>
      </c>
      <c r="AB119" s="6">
        <v>327744</v>
      </c>
      <c r="AC119" s="6">
        <v>394374</v>
      </c>
      <c r="AD119" s="6">
        <v>393792</v>
      </c>
      <c r="AE119" s="6">
        <v>274556</v>
      </c>
      <c r="AF119" s="6">
        <v>330945</v>
      </c>
      <c r="AG119" s="6">
        <v>266336</v>
      </c>
      <c r="AH119" s="6">
        <v>294629</v>
      </c>
      <c r="AI119" s="6">
        <v>293574</v>
      </c>
      <c r="AJ119" s="6">
        <v>308578</v>
      </c>
      <c r="AK119" s="6">
        <v>297455</v>
      </c>
      <c r="AL119" s="6">
        <v>274606</v>
      </c>
      <c r="AM119" s="6">
        <v>319896</v>
      </c>
      <c r="AN119" s="6">
        <v>300527</v>
      </c>
      <c r="AO119" s="6">
        <v>358023</v>
      </c>
      <c r="AP119" s="6">
        <v>372876</v>
      </c>
      <c r="AQ119" s="6">
        <v>249867</v>
      </c>
      <c r="AR119" s="6">
        <v>289874</v>
      </c>
      <c r="AS119" s="6">
        <v>315202</v>
      </c>
      <c r="AT119" s="6">
        <v>277059</v>
      </c>
      <c r="AU119" s="6">
        <v>281300</v>
      </c>
      <c r="AV119" s="6">
        <v>286351</v>
      </c>
      <c r="AW119" s="6">
        <v>306861</v>
      </c>
      <c r="AX119" s="6">
        <v>268101</v>
      </c>
      <c r="AY119" s="6">
        <v>315299</v>
      </c>
      <c r="AZ119" s="6">
        <v>295912</v>
      </c>
      <c r="BA119" s="6">
        <v>373437</v>
      </c>
      <c r="BB119" s="6">
        <v>371073</v>
      </c>
      <c r="BC119" s="6">
        <v>220522</v>
      </c>
      <c r="BD119" s="6">
        <v>307081</v>
      </c>
      <c r="BE119" s="6">
        <v>269005</v>
      </c>
      <c r="BF119" s="6">
        <v>251936</v>
      </c>
      <c r="BG119" s="6">
        <v>293282</v>
      </c>
      <c r="BH119" s="6">
        <v>281950</v>
      </c>
      <c r="BI119" s="6">
        <v>234460</v>
      </c>
      <c r="BJ119" s="6">
        <v>225968</v>
      </c>
      <c r="BK119" s="6">
        <v>291074</v>
      </c>
      <c r="BL119" s="6">
        <v>285413</v>
      </c>
      <c r="BM119" s="6">
        <v>355037</v>
      </c>
    </row>
    <row r="120" spans="1:65" s="10" customFormat="1" x14ac:dyDescent="0.25">
      <c r="A120" s="1">
        <v>101</v>
      </c>
      <c r="B120" s="1">
        <f>VLOOKUP(E120,'[2]Peajes (1)'!$A:$D,4,0)</f>
        <v>3952</v>
      </c>
      <c r="C120" s="3" t="s">
        <v>151</v>
      </c>
      <c r="D120" s="3" t="s">
        <v>152</v>
      </c>
      <c r="E120" s="3" t="s">
        <v>153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25319</v>
      </c>
      <c r="U120" s="6">
        <v>41440</v>
      </c>
      <c r="V120" s="6">
        <v>41481</v>
      </c>
      <c r="W120" s="6">
        <v>45152</v>
      </c>
      <c r="X120" s="6">
        <v>43846</v>
      </c>
      <c r="Y120" s="6">
        <v>44129</v>
      </c>
      <c r="Z120" s="6">
        <v>40819</v>
      </c>
      <c r="AA120" s="6">
        <v>43270</v>
      </c>
      <c r="AB120" s="6">
        <v>42316</v>
      </c>
      <c r="AC120" s="6">
        <v>53786</v>
      </c>
      <c r="AD120" s="6">
        <v>54698</v>
      </c>
      <c r="AE120" s="6">
        <v>37056</v>
      </c>
      <c r="AF120" s="6">
        <v>46528</v>
      </c>
      <c r="AG120" s="6">
        <v>38652</v>
      </c>
      <c r="AH120" s="6">
        <v>42022</v>
      </c>
      <c r="AI120" s="6">
        <v>45195</v>
      </c>
      <c r="AJ120" s="6">
        <v>45056</v>
      </c>
      <c r="AK120" s="6">
        <v>44723</v>
      </c>
      <c r="AL120" s="6">
        <v>40546</v>
      </c>
      <c r="AM120" s="6">
        <v>46189</v>
      </c>
      <c r="AN120" s="6">
        <v>44390</v>
      </c>
      <c r="AO120" s="6">
        <v>55099</v>
      </c>
      <c r="AP120" s="6">
        <v>60689</v>
      </c>
      <c r="AQ120" s="6">
        <v>38780</v>
      </c>
      <c r="AR120" s="6">
        <v>42491</v>
      </c>
      <c r="AS120" s="6">
        <v>46478</v>
      </c>
      <c r="AT120" s="6">
        <v>41809</v>
      </c>
      <c r="AU120" s="6">
        <v>44176</v>
      </c>
      <c r="AV120" s="6">
        <v>45016</v>
      </c>
      <c r="AW120" s="6">
        <v>42970</v>
      </c>
      <c r="AX120" s="6">
        <v>41729</v>
      </c>
      <c r="AY120" s="6">
        <v>45975</v>
      </c>
      <c r="AZ120" s="6">
        <v>44569</v>
      </c>
      <c r="BA120" s="6">
        <v>58057</v>
      </c>
      <c r="BB120" s="6">
        <v>60148</v>
      </c>
      <c r="BC120" s="6">
        <v>40511</v>
      </c>
      <c r="BD120" s="6">
        <v>48889</v>
      </c>
      <c r="BE120" s="6">
        <v>46666</v>
      </c>
      <c r="BF120" s="6">
        <v>46222</v>
      </c>
      <c r="BG120" s="6">
        <v>53995</v>
      </c>
      <c r="BH120" s="6">
        <v>50340</v>
      </c>
      <c r="BI120" s="6">
        <v>48233</v>
      </c>
      <c r="BJ120" s="6">
        <v>46965</v>
      </c>
      <c r="BK120" s="6">
        <v>51494</v>
      </c>
      <c r="BL120" s="6">
        <v>48311</v>
      </c>
      <c r="BM120" s="6">
        <v>60096</v>
      </c>
    </row>
    <row r="121" spans="1:65" x14ac:dyDescent="0.25">
      <c r="A121" s="1">
        <v>16</v>
      </c>
      <c r="B121" s="1">
        <f>VLOOKUP(E121,'[2]Peajes (1)'!$A:$D,4,0)</f>
        <v>3939</v>
      </c>
      <c r="C121" s="3" t="s">
        <v>21</v>
      </c>
      <c r="D121" s="3" t="s">
        <v>22</v>
      </c>
      <c r="E121" s="3" t="s">
        <v>25</v>
      </c>
      <c r="F121" s="6">
        <v>189984</v>
      </c>
      <c r="G121" s="6">
        <v>127266</v>
      </c>
      <c r="H121" s="6">
        <v>158867</v>
      </c>
      <c r="I121" s="6">
        <v>164345</v>
      </c>
      <c r="J121" s="6">
        <v>140092</v>
      </c>
      <c r="K121" s="6">
        <v>157657</v>
      </c>
      <c r="L121" s="6">
        <v>148511</v>
      </c>
      <c r="M121" s="6">
        <v>160333</v>
      </c>
      <c r="N121" s="6">
        <v>135093</v>
      </c>
      <c r="O121" s="6">
        <v>153748</v>
      </c>
      <c r="P121" s="6">
        <v>157391</v>
      </c>
      <c r="Q121" s="6">
        <v>186541</v>
      </c>
      <c r="R121" s="6">
        <v>203910</v>
      </c>
      <c r="S121" s="6">
        <v>148219</v>
      </c>
      <c r="T121" s="6">
        <v>156864</v>
      </c>
      <c r="U121" s="6">
        <v>166490</v>
      </c>
      <c r="V121" s="6">
        <v>160985</v>
      </c>
      <c r="W121" s="6">
        <v>175156</v>
      </c>
      <c r="X121" s="6">
        <v>172482</v>
      </c>
      <c r="Y121" s="6">
        <v>173384</v>
      </c>
      <c r="Z121" s="6">
        <v>149400</v>
      </c>
      <c r="AA121" s="6">
        <v>171616</v>
      </c>
      <c r="AB121" s="6">
        <v>177095</v>
      </c>
      <c r="AC121" s="6">
        <v>205960</v>
      </c>
      <c r="AD121" s="6">
        <v>224862</v>
      </c>
      <c r="AE121" s="6">
        <v>161503</v>
      </c>
      <c r="AF121" s="6">
        <v>193958</v>
      </c>
      <c r="AG121" s="6">
        <v>149624</v>
      </c>
      <c r="AH121" s="6">
        <v>170995</v>
      </c>
      <c r="AI121" s="6">
        <v>168219</v>
      </c>
      <c r="AJ121" s="6">
        <v>198028</v>
      </c>
      <c r="AK121" s="6">
        <v>173502</v>
      </c>
      <c r="AL121" s="6">
        <v>154640</v>
      </c>
      <c r="AM121" s="6">
        <v>170667</v>
      </c>
      <c r="AN121" s="6">
        <v>159063</v>
      </c>
      <c r="AO121" s="6">
        <v>189124</v>
      </c>
      <c r="AP121" s="6">
        <v>215866</v>
      </c>
      <c r="AQ121" s="6">
        <v>159700</v>
      </c>
      <c r="AR121" s="6">
        <v>161732</v>
      </c>
      <c r="AS121" s="6">
        <v>179367</v>
      </c>
      <c r="AT121" s="6">
        <v>150962</v>
      </c>
      <c r="AU121" s="6">
        <v>169948</v>
      </c>
      <c r="AV121" s="6">
        <v>183279</v>
      </c>
      <c r="AW121" s="6">
        <v>168585</v>
      </c>
      <c r="AX121" s="6">
        <v>156620</v>
      </c>
      <c r="AY121" s="6">
        <v>179407</v>
      </c>
      <c r="AZ121" s="6">
        <v>167782</v>
      </c>
      <c r="BA121" s="6">
        <v>201794</v>
      </c>
      <c r="BB121" s="6">
        <v>214778</v>
      </c>
      <c r="BC121" s="6">
        <v>159335</v>
      </c>
      <c r="BD121" s="6">
        <v>191824</v>
      </c>
      <c r="BE121" s="6">
        <v>157748</v>
      </c>
      <c r="BF121" s="6">
        <v>154361</v>
      </c>
      <c r="BG121" s="6">
        <v>176143</v>
      </c>
      <c r="BH121" s="6">
        <v>201883</v>
      </c>
      <c r="BI121" s="6">
        <v>184915</v>
      </c>
      <c r="BJ121" s="6">
        <v>163986</v>
      </c>
      <c r="BK121" s="6">
        <v>179552</v>
      </c>
      <c r="BL121" s="6">
        <v>181665</v>
      </c>
      <c r="BM121" s="6">
        <v>220649</v>
      </c>
    </row>
    <row r="122" spans="1:65" x14ac:dyDescent="0.25">
      <c r="A122" s="1">
        <v>23</v>
      </c>
      <c r="B122" s="1">
        <f>VLOOKUP(E122,'[2]Peajes (1)'!$A:$D,4,0)</f>
        <v>3808</v>
      </c>
      <c r="C122" s="3" t="s">
        <v>31</v>
      </c>
      <c r="D122" s="3" t="s">
        <v>32</v>
      </c>
      <c r="E122" s="3" t="s">
        <v>247</v>
      </c>
      <c r="F122" s="6">
        <v>122452</v>
      </c>
      <c r="G122" s="6">
        <v>76403</v>
      </c>
      <c r="H122" s="6">
        <v>83089</v>
      </c>
      <c r="I122" s="6">
        <v>99134</v>
      </c>
      <c r="J122" s="6">
        <v>83538</v>
      </c>
      <c r="K122" s="6">
        <v>90961</v>
      </c>
      <c r="L122" s="6">
        <v>92947</v>
      </c>
      <c r="M122" s="6">
        <v>96537</v>
      </c>
      <c r="N122" s="6">
        <v>85597</v>
      </c>
      <c r="O122" s="6">
        <v>98194</v>
      </c>
      <c r="P122" s="6">
        <v>91388</v>
      </c>
      <c r="Q122" s="6">
        <v>130478</v>
      </c>
      <c r="R122" s="6">
        <v>132970</v>
      </c>
      <c r="S122" s="6">
        <v>85744</v>
      </c>
      <c r="T122" s="6">
        <v>95416</v>
      </c>
      <c r="U122" s="6">
        <v>100651</v>
      </c>
      <c r="V122" s="6">
        <v>91511</v>
      </c>
      <c r="W122" s="6">
        <v>104996</v>
      </c>
      <c r="X122" s="6">
        <v>105791</v>
      </c>
      <c r="Y122" s="6">
        <v>107426</v>
      </c>
      <c r="Z122" s="6">
        <v>94925</v>
      </c>
      <c r="AA122" s="6">
        <v>113694</v>
      </c>
      <c r="AB122" s="6">
        <v>107350</v>
      </c>
      <c r="AC122" s="6">
        <v>150715</v>
      </c>
      <c r="AD122" s="6">
        <v>157971</v>
      </c>
      <c r="AE122" s="6">
        <v>92581</v>
      </c>
      <c r="AF122" s="6">
        <v>126686</v>
      </c>
      <c r="AG122" s="6">
        <v>92112</v>
      </c>
      <c r="AH122" s="6">
        <v>102676</v>
      </c>
      <c r="AI122" s="6">
        <v>106902</v>
      </c>
      <c r="AJ122" s="6">
        <v>107472</v>
      </c>
      <c r="AK122" s="6">
        <v>117410</v>
      </c>
      <c r="AL122" s="6">
        <v>98061</v>
      </c>
      <c r="AM122" s="6">
        <v>114767</v>
      </c>
      <c r="AN122" s="6">
        <v>112728</v>
      </c>
      <c r="AO122" s="6">
        <v>146006</v>
      </c>
      <c r="AP122" s="6">
        <v>154334</v>
      </c>
      <c r="AQ122" s="6">
        <v>92813</v>
      </c>
      <c r="AR122" s="6">
        <v>101776</v>
      </c>
      <c r="AS122" s="6">
        <v>121596</v>
      </c>
      <c r="AT122" s="6">
        <v>102885</v>
      </c>
      <c r="AU122" s="6">
        <v>119996</v>
      </c>
      <c r="AV122" s="6">
        <v>120904</v>
      </c>
      <c r="AW122" s="6">
        <v>120322</v>
      </c>
      <c r="AX122" s="6">
        <v>103492</v>
      </c>
      <c r="AY122" s="6">
        <v>121525</v>
      </c>
      <c r="AZ122" s="6">
        <v>116671</v>
      </c>
      <c r="BA122" s="6">
        <v>159059</v>
      </c>
      <c r="BB122" s="6">
        <v>169702</v>
      </c>
      <c r="BC122" s="6">
        <v>99549</v>
      </c>
      <c r="BD122" s="6">
        <v>126966</v>
      </c>
      <c r="BE122" s="6">
        <v>110771</v>
      </c>
      <c r="BF122" s="6">
        <v>106053</v>
      </c>
      <c r="BG122" s="6">
        <v>122674</v>
      </c>
      <c r="BH122" s="6">
        <v>128324</v>
      </c>
      <c r="BI122" s="6">
        <v>127456</v>
      </c>
      <c r="BJ122" s="6">
        <v>0</v>
      </c>
      <c r="BK122" s="6">
        <v>0</v>
      </c>
      <c r="BL122" s="6">
        <v>0</v>
      </c>
      <c r="BM122" s="6">
        <v>0</v>
      </c>
    </row>
    <row r="123" spans="1:65" hidden="1" x14ac:dyDescent="0.25">
      <c r="A123" s="8">
        <v>92</v>
      </c>
      <c r="B123" s="1">
        <f>VLOOKUP(E123,'[2]Peajes (1)'!$A:$D,4,0)</f>
        <v>3921</v>
      </c>
      <c r="C123" s="8" t="s">
        <v>129</v>
      </c>
      <c r="D123" s="8" t="s">
        <v>130</v>
      </c>
      <c r="E123" s="8" t="s">
        <v>132</v>
      </c>
      <c r="F123" s="6">
        <v>109922</v>
      </c>
      <c r="G123" s="6">
        <v>76872</v>
      </c>
      <c r="H123" s="6">
        <v>87437</v>
      </c>
      <c r="I123" s="6">
        <v>94072</v>
      </c>
      <c r="J123" s="6">
        <v>83449</v>
      </c>
      <c r="K123" s="6">
        <v>85327</v>
      </c>
      <c r="L123" s="6">
        <v>86722</v>
      </c>
      <c r="M123" s="6">
        <v>84510</v>
      </c>
      <c r="N123" s="6">
        <v>81073</v>
      </c>
      <c r="O123" s="6">
        <v>88010</v>
      </c>
      <c r="P123" s="6">
        <v>85379</v>
      </c>
      <c r="Q123" s="6">
        <v>101308</v>
      </c>
      <c r="R123" s="6">
        <v>107927</v>
      </c>
      <c r="S123" s="6">
        <v>78016</v>
      </c>
      <c r="T123" s="6">
        <v>89909</v>
      </c>
      <c r="U123" s="6">
        <v>90481</v>
      </c>
      <c r="V123" s="6">
        <v>87599</v>
      </c>
      <c r="W123" s="6">
        <v>95365</v>
      </c>
      <c r="X123" s="6">
        <v>93395</v>
      </c>
      <c r="Y123" s="6">
        <v>92737</v>
      </c>
      <c r="Z123" s="6">
        <v>89554</v>
      </c>
      <c r="AA123" s="6">
        <v>98071</v>
      </c>
      <c r="AB123" s="6">
        <v>94752</v>
      </c>
      <c r="AC123" s="6">
        <v>116088</v>
      </c>
      <c r="AD123" s="6">
        <v>123889</v>
      </c>
      <c r="AE123" s="6">
        <v>89737</v>
      </c>
      <c r="AF123" s="6">
        <v>105636</v>
      </c>
      <c r="AG123" s="6">
        <v>85919</v>
      </c>
      <c r="AH123" s="6">
        <v>92443</v>
      </c>
      <c r="AI123" s="6">
        <v>96542</v>
      </c>
      <c r="AJ123" s="6">
        <v>94673</v>
      </c>
      <c r="AK123" s="6">
        <v>95120</v>
      </c>
      <c r="AL123" s="6">
        <v>89786</v>
      </c>
      <c r="AM123" s="6">
        <v>97696</v>
      </c>
      <c r="AN123" s="6">
        <v>94204</v>
      </c>
      <c r="AO123" s="6">
        <v>110439</v>
      </c>
      <c r="AP123" s="6">
        <v>118005</v>
      </c>
      <c r="AQ123" s="6">
        <v>83435</v>
      </c>
      <c r="AR123" s="6">
        <v>92798</v>
      </c>
      <c r="AS123" s="6">
        <v>101585</v>
      </c>
      <c r="AT123" s="6">
        <v>91764</v>
      </c>
      <c r="AU123" s="6">
        <v>96912</v>
      </c>
      <c r="AV123" s="6">
        <v>97746</v>
      </c>
      <c r="AW123" s="6">
        <v>67343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</row>
    <row r="124" spans="1:65" s="10" customFormat="1" hidden="1" x14ac:dyDescent="0.25">
      <c r="A124" s="8">
        <v>120</v>
      </c>
      <c r="B124" s="1">
        <f>VLOOKUP(E124,'[2]Peajes (1)'!$A:$D,4,0)</f>
        <v>3921</v>
      </c>
      <c r="C124" s="8" t="s">
        <v>177</v>
      </c>
      <c r="D124" s="8" t="s">
        <v>178</v>
      </c>
      <c r="E124" s="8" t="s">
        <v>132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26016</v>
      </c>
      <c r="AX124" s="6">
        <v>84888</v>
      </c>
      <c r="AY124" s="6">
        <v>90684</v>
      </c>
      <c r="AZ124" s="6">
        <v>90624</v>
      </c>
      <c r="BA124" s="6">
        <v>108626</v>
      </c>
      <c r="BB124" s="6">
        <v>117549</v>
      </c>
      <c r="BC124" s="6">
        <v>79774</v>
      </c>
      <c r="BD124" s="6">
        <v>96913</v>
      </c>
      <c r="BE124" s="6">
        <v>86736</v>
      </c>
      <c r="BF124" s="6">
        <v>82801</v>
      </c>
      <c r="BG124" s="6">
        <v>81844</v>
      </c>
      <c r="BH124" s="6">
        <v>91719</v>
      </c>
      <c r="BI124" s="6">
        <v>92291</v>
      </c>
      <c r="BJ124" s="6">
        <v>85496</v>
      </c>
      <c r="BK124" s="6">
        <v>93664</v>
      </c>
      <c r="BL124" s="6">
        <v>90131</v>
      </c>
      <c r="BM124" s="6">
        <v>108378</v>
      </c>
    </row>
    <row r="125" spans="1:65" s="10" customFormat="1" x14ac:dyDescent="0.25">
      <c r="A125" s="8">
        <v>120</v>
      </c>
      <c r="B125" s="1">
        <f>VLOOKUP(E125,'[2]Peajes (1)'!$A:$D,4,0)</f>
        <v>3921</v>
      </c>
      <c r="C125" s="8" t="s">
        <v>177</v>
      </c>
      <c r="D125" s="8" t="s">
        <v>178</v>
      </c>
      <c r="E125" s="8" t="s">
        <v>132</v>
      </c>
      <c r="F125" s="6">
        <f>SUM(F123:F124)</f>
        <v>109922</v>
      </c>
      <c r="G125" s="6">
        <f t="shared" ref="G125:BM125" si="11">SUM(G123:G124)</f>
        <v>76872</v>
      </c>
      <c r="H125" s="6">
        <f t="shared" si="11"/>
        <v>87437</v>
      </c>
      <c r="I125" s="6">
        <f t="shared" si="11"/>
        <v>94072</v>
      </c>
      <c r="J125" s="6">
        <f t="shared" si="11"/>
        <v>83449</v>
      </c>
      <c r="K125" s="6">
        <f t="shared" si="11"/>
        <v>85327</v>
      </c>
      <c r="L125" s="6">
        <f t="shared" si="11"/>
        <v>86722</v>
      </c>
      <c r="M125" s="6">
        <f t="shared" si="11"/>
        <v>84510</v>
      </c>
      <c r="N125" s="6">
        <f t="shared" si="11"/>
        <v>81073</v>
      </c>
      <c r="O125" s="6">
        <f t="shared" si="11"/>
        <v>88010</v>
      </c>
      <c r="P125" s="6">
        <f t="shared" si="11"/>
        <v>85379</v>
      </c>
      <c r="Q125" s="6">
        <f t="shared" si="11"/>
        <v>101308</v>
      </c>
      <c r="R125" s="6">
        <f t="shared" si="11"/>
        <v>107927</v>
      </c>
      <c r="S125" s="6">
        <f t="shared" si="11"/>
        <v>78016</v>
      </c>
      <c r="T125" s="6">
        <f t="shared" si="11"/>
        <v>89909</v>
      </c>
      <c r="U125" s="6">
        <f t="shared" si="11"/>
        <v>90481</v>
      </c>
      <c r="V125" s="6">
        <f t="shared" si="11"/>
        <v>87599</v>
      </c>
      <c r="W125" s="6">
        <f t="shared" si="11"/>
        <v>95365</v>
      </c>
      <c r="X125" s="6">
        <f t="shared" si="11"/>
        <v>93395</v>
      </c>
      <c r="Y125" s="6">
        <f t="shared" si="11"/>
        <v>92737</v>
      </c>
      <c r="Z125" s="6">
        <f t="shared" si="11"/>
        <v>89554</v>
      </c>
      <c r="AA125" s="6">
        <f t="shared" si="11"/>
        <v>98071</v>
      </c>
      <c r="AB125" s="6">
        <f t="shared" si="11"/>
        <v>94752</v>
      </c>
      <c r="AC125" s="6">
        <f t="shared" si="11"/>
        <v>116088</v>
      </c>
      <c r="AD125" s="6">
        <f t="shared" si="11"/>
        <v>123889</v>
      </c>
      <c r="AE125" s="6">
        <f t="shared" si="11"/>
        <v>89737</v>
      </c>
      <c r="AF125" s="6">
        <f t="shared" si="11"/>
        <v>105636</v>
      </c>
      <c r="AG125" s="6">
        <f t="shared" si="11"/>
        <v>85919</v>
      </c>
      <c r="AH125" s="6">
        <f t="shared" si="11"/>
        <v>92443</v>
      </c>
      <c r="AI125" s="6">
        <f t="shared" si="11"/>
        <v>96542</v>
      </c>
      <c r="AJ125" s="6">
        <f t="shared" si="11"/>
        <v>94673</v>
      </c>
      <c r="AK125" s="6">
        <f t="shared" si="11"/>
        <v>95120</v>
      </c>
      <c r="AL125" s="6">
        <f t="shared" si="11"/>
        <v>89786</v>
      </c>
      <c r="AM125" s="6">
        <f t="shared" si="11"/>
        <v>97696</v>
      </c>
      <c r="AN125" s="6">
        <f t="shared" si="11"/>
        <v>94204</v>
      </c>
      <c r="AO125" s="6">
        <f t="shared" si="11"/>
        <v>110439</v>
      </c>
      <c r="AP125" s="6">
        <f t="shared" si="11"/>
        <v>118005</v>
      </c>
      <c r="AQ125" s="6">
        <f t="shared" si="11"/>
        <v>83435</v>
      </c>
      <c r="AR125" s="6">
        <f t="shared" si="11"/>
        <v>92798</v>
      </c>
      <c r="AS125" s="6">
        <f t="shared" si="11"/>
        <v>101585</v>
      </c>
      <c r="AT125" s="6">
        <f t="shared" si="11"/>
        <v>91764</v>
      </c>
      <c r="AU125" s="6">
        <f t="shared" si="11"/>
        <v>96912</v>
      </c>
      <c r="AV125" s="6">
        <f t="shared" si="11"/>
        <v>97746</v>
      </c>
      <c r="AW125" s="6">
        <f t="shared" si="11"/>
        <v>93359</v>
      </c>
      <c r="AX125" s="6">
        <f t="shared" si="11"/>
        <v>84888</v>
      </c>
      <c r="AY125" s="6">
        <f t="shared" si="11"/>
        <v>90684</v>
      </c>
      <c r="AZ125" s="6">
        <f t="shared" si="11"/>
        <v>90624</v>
      </c>
      <c r="BA125" s="6">
        <f t="shared" si="11"/>
        <v>108626</v>
      </c>
      <c r="BB125" s="6">
        <f t="shared" si="11"/>
        <v>117549</v>
      </c>
      <c r="BC125" s="6">
        <f t="shared" si="11"/>
        <v>79774</v>
      </c>
      <c r="BD125" s="6">
        <f t="shared" si="11"/>
        <v>96913</v>
      </c>
      <c r="BE125" s="6">
        <f t="shared" si="11"/>
        <v>86736</v>
      </c>
      <c r="BF125" s="6">
        <f t="shared" si="11"/>
        <v>82801</v>
      </c>
      <c r="BG125" s="6">
        <f t="shared" si="11"/>
        <v>81844</v>
      </c>
      <c r="BH125" s="6">
        <f t="shared" si="11"/>
        <v>91719</v>
      </c>
      <c r="BI125" s="6">
        <f t="shared" si="11"/>
        <v>92291</v>
      </c>
      <c r="BJ125" s="6">
        <f t="shared" si="11"/>
        <v>85496</v>
      </c>
      <c r="BK125" s="6">
        <f t="shared" si="11"/>
        <v>93664</v>
      </c>
      <c r="BL125" s="6">
        <f t="shared" si="11"/>
        <v>90131</v>
      </c>
      <c r="BM125" s="6">
        <f t="shared" si="11"/>
        <v>108378</v>
      </c>
    </row>
    <row r="126" spans="1:65" s="10" customFormat="1" x14ac:dyDescent="0.25">
      <c r="A126" s="1">
        <v>125</v>
      </c>
      <c r="B126" s="1">
        <f>VLOOKUP(E126,'[2]Peajes (1)'!$A:$D,4,0)</f>
        <v>3964</v>
      </c>
      <c r="C126" s="3" t="s">
        <v>189</v>
      </c>
      <c r="D126" s="3" t="s">
        <v>190</v>
      </c>
      <c r="E126" s="3" t="s">
        <v>191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>
        <v>0</v>
      </c>
      <c r="AE126" s="6">
        <v>0</v>
      </c>
      <c r="AF126" s="6">
        <v>0</v>
      </c>
      <c r="AG126" s="6">
        <v>0</v>
      </c>
      <c r="AH126" s="6">
        <v>36945</v>
      </c>
      <c r="AI126" s="6">
        <v>48376</v>
      </c>
      <c r="AJ126" s="6">
        <v>47773</v>
      </c>
      <c r="AK126" s="6">
        <v>50120</v>
      </c>
      <c r="AL126" s="6">
        <v>47236</v>
      </c>
      <c r="AM126" s="6">
        <v>49677</v>
      </c>
      <c r="AN126" s="6">
        <v>48150</v>
      </c>
      <c r="AO126" s="6">
        <v>63978</v>
      </c>
      <c r="AP126" s="6">
        <v>60565</v>
      </c>
      <c r="AQ126" s="6">
        <v>46204</v>
      </c>
      <c r="AR126" s="6">
        <v>51965</v>
      </c>
      <c r="AS126" s="6">
        <v>58820</v>
      </c>
      <c r="AT126" s="6">
        <v>49914</v>
      </c>
      <c r="AU126" s="6">
        <v>50080</v>
      </c>
      <c r="AV126" s="6">
        <v>52109</v>
      </c>
      <c r="AW126" s="6">
        <v>49058</v>
      </c>
      <c r="AX126" s="6">
        <v>46641</v>
      </c>
      <c r="AY126" s="6">
        <v>49037</v>
      </c>
      <c r="AZ126" s="6">
        <v>47687</v>
      </c>
      <c r="BA126" s="6">
        <v>61525</v>
      </c>
      <c r="BB126" s="6">
        <v>61769</v>
      </c>
      <c r="BC126" s="6">
        <v>24706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</row>
    <row r="127" spans="1:65" x14ac:dyDescent="0.25">
      <c r="A127" s="1">
        <v>25</v>
      </c>
      <c r="B127" s="1">
        <f>VLOOKUP(E127,'[2]Peajes (1)'!$A:$D,4,0)</f>
        <v>3974</v>
      </c>
      <c r="C127" s="3" t="s">
        <v>37</v>
      </c>
      <c r="D127" s="3" t="s">
        <v>38</v>
      </c>
      <c r="E127" s="3" t="s">
        <v>40</v>
      </c>
      <c r="F127" s="6">
        <v>666799</v>
      </c>
      <c r="G127" s="6">
        <v>631797</v>
      </c>
      <c r="H127" s="6">
        <v>711972</v>
      </c>
      <c r="I127" s="6">
        <v>683512</v>
      </c>
      <c r="J127" s="6">
        <v>704336</v>
      </c>
      <c r="K127" s="6">
        <v>667137</v>
      </c>
      <c r="L127" s="6">
        <v>713453</v>
      </c>
      <c r="M127" s="6">
        <v>729459</v>
      </c>
      <c r="N127" s="6">
        <v>701393</v>
      </c>
      <c r="O127" s="6">
        <v>738036</v>
      </c>
      <c r="P127" s="6">
        <v>708675</v>
      </c>
      <c r="Q127" s="6">
        <v>787726</v>
      </c>
      <c r="R127" s="6">
        <v>696241</v>
      </c>
      <c r="S127" s="6">
        <v>664839</v>
      </c>
      <c r="T127" s="6">
        <v>741315</v>
      </c>
      <c r="U127" s="6">
        <v>696045</v>
      </c>
      <c r="V127" s="6">
        <v>743837</v>
      </c>
      <c r="W127" s="6">
        <v>732072</v>
      </c>
      <c r="X127" s="6">
        <v>771025</v>
      </c>
      <c r="Y127" s="6">
        <v>771028</v>
      </c>
      <c r="Z127" s="6">
        <v>736352</v>
      </c>
      <c r="AA127" s="6">
        <v>771395</v>
      </c>
      <c r="AB127" s="6">
        <v>733881</v>
      </c>
      <c r="AC127" s="6">
        <v>819219</v>
      </c>
      <c r="AD127" s="6">
        <v>714286</v>
      </c>
      <c r="AE127" s="6">
        <v>711530</v>
      </c>
      <c r="AF127" s="6">
        <v>740442</v>
      </c>
      <c r="AG127" s="6">
        <v>735962</v>
      </c>
      <c r="AH127" s="6">
        <v>760224</v>
      </c>
      <c r="AI127" s="6">
        <v>739632</v>
      </c>
      <c r="AJ127" s="6">
        <v>750798</v>
      </c>
      <c r="AK127" s="6">
        <v>770933</v>
      </c>
      <c r="AL127" s="6">
        <v>746908</v>
      </c>
      <c r="AM127" s="6">
        <v>767333</v>
      </c>
      <c r="AN127" s="6">
        <v>743670</v>
      </c>
      <c r="AO127" s="6">
        <v>813290</v>
      </c>
      <c r="AP127" s="6">
        <v>728825</v>
      </c>
      <c r="AQ127" s="6">
        <v>694251</v>
      </c>
      <c r="AR127" s="6">
        <v>777369</v>
      </c>
      <c r="AS127" s="6">
        <v>752116</v>
      </c>
      <c r="AT127" s="6">
        <v>777140</v>
      </c>
      <c r="AU127" s="6">
        <v>759521</v>
      </c>
      <c r="AV127" s="6">
        <v>786711</v>
      </c>
      <c r="AW127" s="6">
        <v>786207</v>
      </c>
      <c r="AX127" s="6">
        <v>749332</v>
      </c>
      <c r="AY127" s="6">
        <v>781785</v>
      </c>
      <c r="AZ127" s="6">
        <v>771280</v>
      </c>
      <c r="BA127" s="6">
        <v>847537</v>
      </c>
      <c r="BB127" s="6">
        <v>743777</v>
      </c>
      <c r="BC127" s="6">
        <v>708900</v>
      </c>
      <c r="BD127" s="6">
        <v>792520</v>
      </c>
      <c r="BE127" s="6">
        <v>728417</v>
      </c>
      <c r="BF127" s="6">
        <v>804820</v>
      </c>
      <c r="BG127" s="6">
        <v>796714</v>
      </c>
      <c r="BH127" s="6">
        <v>799442</v>
      </c>
      <c r="BI127" s="6">
        <v>819476</v>
      </c>
      <c r="BJ127" s="6">
        <v>791831</v>
      </c>
      <c r="BK127" s="6">
        <v>817909</v>
      </c>
      <c r="BL127" s="6">
        <v>797097</v>
      </c>
      <c r="BM127" s="6">
        <v>883196</v>
      </c>
    </row>
    <row r="128" spans="1:65" x14ac:dyDescent="0.25">
      <c r="A128" s="1">
        <v>126</v>
      </c>
      <c r="B128" s="1" t="e">
        <f>VLOOKUP(E128,'[2]Peajes (1)'!$A:$D,4,0)</f>
        <v>#N/A</v>
      </c>
      <c r="C128" s="3" t="s">
        <v>189</v>
      </c>
      <c r="D128" s="3" t="s">
        <v>190</v>
      </c>
      <c r="E128" s="3" t="s">
        <v>192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19886</v>
      </c>
      <c r="AM128" s="6">
        <v>65878</v>
      </c>
      <c r="AN128" s="6">
        <v>63965</v>
      </c>
      <c r="AO128" s="6">
        <v>80973</v>
      </c>
      <c r="AP128" s="6">
        <v>73864</v>
      </c>
      <c r="AQ128" s="6">
        <v>30559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</row>
    <row r="129" spans="1:65" x14ac:dyDescent="0.25">
      <c r="A129" s="1">
        <v>102</v>
      </c>
      <c r="B129" s="1">
        <f>VLOOKUP(E129,'[2]Peajes (1)'!$A:$D,4,0)</f>
        <v>3972</v>
      </c>
      <c r="C129" s="3" t="s">
        <v>154</v>
      </c>
      <c r="D129" s="3" t="s">
        <v>155</v>
      </c>
      <c r="E129" s="3" t="s">
        <v>156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156582</v>
      </c>
      <c r="AB129" s="6">
        <v>151580</v>
      </c>
      <c r="AC129" s="6">
        <v>176516</v>
      </c>
      <c r="AD129" s="6">
        <v>165769</v>
      </c>
      <c r="AE129" s="6">
        <v>137965</v>
      </c>
      <c r="AF129" s="6">
        <v>152381</v>
      </c>
      <c r="AG129" s="6">
        <v>139862</v>
      </c>
      <c r="AH129" s="6">
        <v>144753</v>
      </c>
      <c r="AI129" s="6">
        <v>148031</v>
      </c>
      <c r="AJ129" s="6">
        <v>155475</v>
      </c>
      <c r="AK129" s="6">
        <v>152476</v>
      </c>
      <c r="AL129" s="6">
        <v>145218</v>
      </c>
      <c r="AM129" s="6">
        <v>149761</v>
      </c>
      <c r="AN129" s="6">
        <v>145671</v>
      </c>
      <c r="AO129" s="6">
        <v>171852</v>
      </c>
      <c r="AP129" s="6">
        <v>166336</v>
      </c>
      <c r="AQ129" s="6">
        <v>132834</v>
      </c>
      <c r="AR129" s="6">
        <v>142048</v>
      </c>
      <c r="AS129" s="6">
        <v>144619</v>
      </c>
      <c r="AT129" s="6">
        <v>139160</v>
      </c>
      <c r="AU129" s="6">
        <v>144687</v>
      </c>
      <c r="AV129" s="6">
        <v>150371</v>
      </c>
      <c r="AW129" s="6">
        <v>147206</v>
      </c>
      <c r="AX129" s="6">
        <v>140547</v>
      </c>
      <c r="AY129" s="6">
        <v>153579</v>
      </c>
      <c r="AZ129" s="6">
        <v>149846</v>
      </c>
      <c r="BA129" s="6">
        <v>102704</v>
      </c>
      <c r="BB129" s="6">
        <v>112962</v>
      </c>
      <c r="BC129" s="6">
        <v>114889</v>
      </c>
      <c r="BD129" s="6">
        <v>137239</v>
      </c>
      <c r="BE129" s="6">
        <v>132045</v>
      </c>
      <c r="BF129" s="6">
        <v>131497</v>
      </c>
      <c r="BG129" s="6">
        <v>138800</v>
      </c>
      <c r="BH129" s="6">
        <v>142366</v>
      </c>
      <c r="BI129" s="6">
        <v>141883</v>
      </c>
      <c r="BJ129" s="6">
        <v>130827</v>
      </c>
      <c r="BK129" s="6">
        <v>138482</v>
      </c>
      <c r="BL129" s="6">
        <v>137159</v>
      </c>
      <c r="BM129" s="6">
        <v>163816</v>
      </c>
    </row>
    <row r="130" spans="1:65" x14ac:dyDescent="0.25">
      <c r="A130" s="1">
        <v>94</v>
      </c>
      <c r="B130" s="1">
        <f>VLOOKUP(E130,'[2]Peajes (1)'!$A:$D,4,0)</f>
        <v>6805</v>
      </c>
      <c r="C130" s="3" t="s">
        <v>133</v>
      </c>
      <c r="D130" s="3" t="s">
        <v>134</v>
      </c>
      <c r="E130" s="3" t="s">
        <v>136</v>
      </c>
      <c r="F130" s="6">
        <v>160910</v>
      </c>
      <c r="G130" s="6">
        <v>114848</v>
      </c>
      <c r="H130" s="6">
        <v>124519</v>
      </c>
      <c r="I130" s="6">
        <v>133683</v>
      </c>
      <c r="J130" s="6">
        <v>148586</v>
      </c>
      <c r="K130" s="6">
        <v>136597</v>
      </c>
      <c r="L130" s="6">
        <v>131562</v>
      </c>
      <c r="M130" s="6">
        <v>129601</v>
      </c>
      <c r="N130" s="6">
        <v>121013</v>
      </c>
      <c r="O130" s="6">
        <v>131421</v>
      </c>
      <c r="P130" s="6">
        <v>145383</v>
      </c>
      <c r="Q130" s="6">
        <v>146643</v>
      </c>
      <c r="R130" s="6">
        <v>160403</v>
      </c>
      <c r="S130" s="6">
        <v>114062</v>
      </c>
      <c r="T130" s="6">
        <v>122232</v>
      </c>
      <c r="U130" s="6">
        <v>128569</v>
      </c>
      <c r="V130" s="6">
        <v>129790</v>
      </c>
      <c r="W130" s="6">
        <v>132390</v>
      </c>
      <c r="X130" s="6">
        <v>133572</v>
      </c>
      <c r="Y130" s="6">
        <v>131409</v>
      </c>
      <c r="Z130" s="6">
        <v>123353</v>
      </c>
      <c r="AA130" s="6">
        <v>135908</v>
      </c>
      <c r="AB130" s="6">
        <v>132348</v>
      </c>
      <c r="AC130" s="6">
        <v>158275</v>
      </c>
      <c r="AD130" s="6">
        <v>171327</v>
      </c>
      <c r="AE130" s="6">
        <v>121789</v>
      </c>
      <c r="AF130" s="6">
        <v>139172</v>
      </c>
      <c r="AG130" s="6">
        <v>72496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</row>
    <row r="131" spans="1:65" x14ac:dyDescent="0.25">
      <c r="A131" s="1">
        <v>44</v>
      </c>
      <c r="B131" s="1">
        <f>VLOOKUP(E131,'[2]Peajes (1)'!$A:$D,4,0)</f>
        <v>6004</v>
      </c>
      <c r="C131" s="3" t="s">
        <v>59</v>
      </c>
      <c r="D131" s="3" t="s">
        <v>60</v>
      </c>
      <c r="E131" s="3" t="s">
        <v>67</v>
      </c>
      <c r="F131" s="6">
        <v>93451</v>
      </c>
      <c r="G131" s="6">
        <v>77809</v>
      </c>
      <c r="H131" s="6">
        <v>87470</v>
      </c>
      <c r="I131" s="6">
        <v>88553</v>
      </c>
      <c r="J131" s="6">
        <v>87346</v>
      </c>
      <c r="K131" s="6">
        <v>86488</v>
      </c>
      <c r="L131" s="6">
        <v>90639</v>
      </c>
      <c r="M131" s="6">
        <v>92447</v>
      </c>
      <c r="N131" s="6">
        <v>86106</v>
      </c>
      <c r="O131" s="6">
        <v>92122</v>
      </c>
      <c r="P131" s="6">
        <v>91221</v>
      </c>
      <c r="Q131" s="6">
        <v>108142</v>
      </c>
      <c r="R131" s="6">
        <v>102355</v>
      </c>
      <c r="S131" s="6">
        <v>84506</v>
      </c>
      <c r="T131" s="6">
        <v>97570</v>
      </c>
      <c r="U131" s="6">
        <v>96182</v>
      </c>
      <c r="V131" s="6">
        <v>98734</v>
      </c>
      <c r="W131" s="6">
        <v>103800</v>
      </c>
      <c r="X131" s="6">
        <v>110010</v>
      </c>
      <c r="Y131" s="6">
        <v>109609</v>
      </c>
      <c r="Z131" s="6">
        <v>98865</v>
      </c>
      <c r="AA131" s="6">
        <v>106107</v>
      </c>
      <c r="AB131" s="6">
        <v>106340</v>
      </c>
      <c r="AC131" s="6">
        <v>124717</v>
      </c>
      <c r="AD131" s="6">
        <v>118214</v>
      </c>
      <c r="AE131" s="6">
        <v>95641</v>
      </c>
      <c r="AF131" s="6">
        <v>109865</v>
      </c>
      <c r="AG131" s="6">
        <v>98059</v>
      </c>
      <c r="AH131" s="6">
        <v>108318</v>
      </c>
      <c r="AI131" s="6">
        <v>107063</v>
      </c>
      <c r="AJ131" s="6">
        <v>121019</v>
      </c>
      <c r="AK131" s="6">
        <v>114292</v>
      </c>
      <c r="AL131" s="6">
        <v>104970</v>
      </c>
      <c r="AM131" s="6">
        <v>111438</v>
      </c>
      <c r="AN131" s="6">
        <v>110209</v>
      </c>
      <c r="AO131" s="6">
        <v>128032</v>
      </c>
      <c r="AP131" s="6">
        <v>122520</v>
      </c>
      <c r="AQ131" s="6">
        <v>97809</v>
      </c>
      <c r="AR131" s="6">
        <v>110543</v>
      </c>
      <c r="AS131" s="6">
        <v>113450</v>
      </c>
      <c r="AT131" s="6">
        <v>111858</v>
      </c>
      <c r="AU131" s="6">
        <v>114092</v>
      </c>
      <c r="AV131" s="6">
        <v>122011</v>
      </c>
      <c r="AW131" s="6">
        <v>118558</v>
      </c>
      <c r="AX131" s="6">
        <v>107395</v>
      </c>
      <c r="AY131" s="6">
        <v>114427</v>
      </c>
      <c r="AZ131" s="6">
        <v>115497</v>
      </c>
      <c r="BA131" s="6">
        <v>134143</v>
      </c>
      <c r="BB131" s="6">
        <v>126205</v>
      </c>
      <c r="BC131" s="6">
        <v>100832</v>
      </c>
      <c r="BD131" s="6">
        <v>116331</v>
      </c>
      <c r="BE131" s="6">
        <v>110936</v>
      </c>
      <c r="BF131" s="6">
        <v>109066</v>
      </c>
      <c r="BG131" s="6">
        <v>112361</v>
      </c>
      <c r="BH131" s="6">
        <v>121203</v>
      </c>
      <c r="BI131" s="6">
        <v>118181</v>
      </c>
      <c r="BJ131" s="6">
        <v>109342</v>
      </c>
      <c r="BK131" s="6">
        <v>117288</v>
      </c>
      <c r="BL131" s="6">
        <v>0</v>
      </c>
      <c r="BM131" s="6">
        <v>0</v>
      </c>
    </row>
    <row r="132" spans="1:65" x14ac:dyDescent="0.25">
      <c r="A132" s="1">
        <v>75</v>
      </c>
      <c r="B132" s="1">
        <f>VLOOKUP(E132,'[2]Peajes (1)'!$A:$D,4,0)</f>
        <v>3874</v>
      </c>
      <c r="C132" s="3" t="s">
        <v>100</v>
      </c>
      <c r="D132" s="3" t="s">
        <v>101</v>
      </c>
      <c r="E132" s="3" t="s">
        <v>107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82971</v>
      </c>
      <c r="S132" s="6">
        <v>249420</v>
      </c>
      <c r="T132" s="6">
        <v>277634</v>
      </c>
      <c r="U132" s="6">
        <v>278932</v>
      </c>
      <c r="V132" s="6">
        <v>282120</v>
      </c>
      <c r="W132" s="6">
        <v>279046</v>
      </c>
      <c r="X132" s="6">
        <v>297729</v>
      </c>
      <c r="Y132" s="6">
        <v>291712</v>
      </c>
      <c r="Z132" s="6">
        <v>288143</v>
      </c>
      <c r="AA132" s="6">
        <v>303004</v>
      </c>
      <c r="AB132" s="6">
        <v>289923</v>
      </c>
      <c r="AC132" s="6">
        <v>324966</v>
      </c>
      <c r="AD132" s="6">
        <v>306516</v>
      </c>
      <c r="AE132" s="6">
        <v>272304</v>
      </c>
      <c r="AF132" s="6">
        <v>300536</v>
      </c>
      <c r="AG132" s="6">
        <v>286384</v>
      </c>
      <c r="AH132" s="6">
        <v>297518</v>
      </c>
      <c r="AI132" s="6">
        <v>294415</v>
      </c>
      <c r="AJ132" s="6">
        <v>304546</v>
      </c>
      <c r="AK132" s="6">
        <v>311820</v>
      </c>
      <c r="AL132" s="6">
        <v>302202</v>
      </c>
      <c r="AM132" s="6">
        <v>314346</v>
      </c>
      <c r="AN132" s="6">
        <v>307853</v>
      </c>
      <c r="AO132" s="6">
        <v>350405</v>
      </c>
      <c r="AP132" s="6">
        <v>323070</v>
      </c>
      <c r="AQ132" s="6">
        <v>295273</v>
      </c>
      <c r="AR132" s="6">
        <v>319915</v>
      </c>
      <c r="AS132" s="6">
        <v>313943</v>
      </c>
      <c r="AT132" s="6">
        <v>312815</v>
      </c>
      <c r="AU132" s="6">
        <v>308212</v>
      </c>
      <c r="AV132" s="6">
        <v>318603</v>
      </c>
      <c r="AW132" s="6">
        <v>318107</v>
      </c>
      <c r="AX132" s="6">
        <v>305225</v>
      </c>
      <c r="AY132" s="6">
        <v>315893</v>
      </c>
      <c r="AZ132" s="6">
        <v>310389</v>
      </c>
      <c r="BA132" s="6">
        <v>344531</v>
      </c>
      <c r="BB132" s="6">
        <v>321140</v>
      </c>
      <c r="BC132" s="6">
        <v>286541</v>
      </c>
      <c r="BD132" s="6">
        <v>321151</v>
      </c>
      <c r="BE132" s="6">
        <v>301752</v>
      </c>
      <c r="BF132" s="6">
        <v>307127</v>
      </c>
      <c r="BG132" s="6">
        <v>294885</v>
      </c>
      <c r="BH132" s="6">
        <v>308236</v>
      </c>
      <c r="BI132" s="6">
        <v>309329</v>
      </c>
      <c r="BJ132" s="6">
        <v>299989</v>
      </c>
      <c r="BK132" s="6">
        <v>315034</v>
      </c>
      <c r="BL132" s="6">
        <v>309205</v>
      </c>
      <c r="BM132" s="6">
        <v>338107</v>
      </c>
    </row>
    <row r="133" spans="1:65" x14ac:dyDescent="0.25">
      <c r="A133" s="1">
        <v>156</v>
      </c>
      <c r="B133" s="1">
        <f>VLOOKUP(E133,'[2]Peajes (1)'!$A:$D,4,0)</f>
        <v>3953</v>
      </c>
      <c r="C133" s="3" t="s">
        <v>228</v>
      </c>
      <c r="D133" s="3" t="s">
        <v>229</v>
      </c>
      <c r="E133" s="3" t="s">
        <v>234</v>
      </c>
      <c r="F133" s="6">
        <v>130422</v>
      </c>
      <c r="G133" s="6">
        <v>74391</v>
      </c>
      <c r="H133" s="6">
        <v>82763</v>
      </c>
      <c r="I133" s="6">
        <v>104867</v>
      </c>
      <c r="J133" s="6">
        <v>104939</v>
      </c>
      <c r="K133" s="6">
        <v>104651</v>
      </c>
      <c r="L133" s="6">
        <v>89147</v>
      </c>
      <c r="M133" s="6">
        <v>92089</v>
      </c>
      <c r="N133" s="6">
        <v>77138</v>
      </c>
      <c r="O133" s="6">
        <v>96417</v>
      </c>
      <c r="P133" s="6">
        <v>96270</v>
      </c>
      <c r="Q133" s="6">
        <v>118637</v>
      </c>
      <c r="R133" s="6">
        <v>135705</v>
      </c>
      <c r="S133" s="6">
        <v>72943</v>
      </c>
      <c r="T133" s="6">
        <v>86186</v>
      </c>
      <c r="U133" s="6">
        <v>96750</v>
      </c>
      <c r="V133" s="6">
        <v>84304</v>
      </c>
      <c r="W133" s="6">
        <v>108145</v>
      </c>
      <c r="X133" s="6">
        <v>101000</v>
      </c>
      <c r="Y133" s="6">
        <v>101506</v>
      </c>
      <c r="Z133" s="6">
        <v>82247</v>
      </c>
      <c r="AA133" s="6">
        <v>107020</v>
      </c>
      <c r="AB133" s="6">
        <v>95084</v>
      </c>
      <c r="AC133" s="6">
        <v>129319</v>
      </c>
      <c r="AD133" s="6">
        <v>143937</v>
      </c>
      <c r="AE133" s="6">
        <v>77110</v>
      </c>
      <c r="AF133" s="6">
        <v>111526</v>
      </c>
      <c r="AG133" s="6">
        <v>75850</v>
      </c>
      <c r="AH133" s="6">
        <v>93839</v>
      </c>
      <c r="AI133" s="6">
        <v>93138</v>
      </c>
      <c r="AJ133" s="6">
        <v>99508</v>
      </c>
      <c r="AK133" s="6">
        <v>98367</v>
      </c>
      <c r="AL133" s="6">
        <v>83069</v>
      </c>
      <c r="AM133" s="6">
        <v>104283</v>
      </c>
      <c r="AN133" s="6">
        <v>97231</v>
      </c>
      <c r="AO133" s="6">
        <v>123093</v>
      </c>
      <c r="AP133" s="6">
        <v>140565</v>
      </c>
      <c r="AQ133" s="6">
        <v>78166</v>
      </c>
      <c r="AR133" s="6">
        <v>88022</v>
      </c>
      <c r="AS133" s="6">
        <v>108962</v>
      </c>
      <c r="AT133" s="6">
        <v>87155</v>
      </c>
      <c r="AU133" s="6">
        <v>98886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</row>
    <row r="134" spans="1:65" x14ac:dyDescent="0.25">
      <c r="A134" s="1">
        <v>4</v>
      </c>
      <c r="B134" s="1">
        <f>VLOOKUP(E134,'[2]Peajes (1)'!$A:$D,4,0)</f>
        <v>3869</v>
      </c>
      <c r="C134" s="3" t="s">
        <v>4</v>
      </c>
      <c r="D134" s="3" t="s">
        <v>5</v>
      </c>
      <c r="E134" s="3" t="s">
        <v>248</v>
      </c>
      <c r="F134" s="6">
        <v>95204</v>
      </c>
      <c r="G134" s="6">
        <v>71921</v>
      </c>
      <c r="H134" s="6">
        <v>85023</v>
      </c>
      <c r="I134" s="6">
        <v>87297</v>
      </c>
      <c r="J134" s="6">
        <v>82327</v>
      </c>
      <c r="K134" s="6">
        <v>88436</v>
      </c>
      <c r="L134" s="6">
        <v>86214</v>
      </c>
      <c r="M134" s="6">
        <v>91312</v>
      </c>
      <c r="N134" s="6">
        <v>78639</v>
      </c>
      <c r="O134" s="6">
        <v>87115</v>
      </c>
      <c r="P134" s="6">
        <v>88235</v>
      </c>
      <c r="Q134" s="6">
        <v>111059</v>
      </c>
      <c r="R134" s="6">
        <v>104521</v>
      </c>
      <c r="S134" s="6">
        <v>74125</v>
      </c>
      <c r="T134" s="6">
        <v>85600</v>
      </c>
      <c r="U134" s="6">
        <v>87923</v>
      </c>
      <c r="V134" s="6">
        <v>90981</v>
      </c>
      <c r="W134" s="6">
        <v>97665</v>
      </c>
      <c r="X134" s="6">
        <v>95877</v>
      </c>
      <c r="Y134" s="6">
        <v>96288</v>
      </c>
      <c r="Z134" s="6">
        <v>86249</v>
      </c>
      <c r="AA134" s="6">
        <v>95324</v>
      </c>
      <c r="AB134" s="6">
        <v>93198</v>
      </c>
      <c r="AC134" s="6">
        <v>120558</v>
      </c>
      <c r="AD134" s="6">
        <v>111341</v>
      </c>
      <c r="AE134" s="6">
        <v>80790</v>
      </c>
      <c r="AF134" s="6">
        <v>98452</v>
      </c>
      <c r="AG134" s="6">
        <v>82138</v>
      </c>
      <c r="AH134" s="6">
        <v>93916</v>
      </c>
      <c r="AI134" s="6">
        <v>90960</v>
      </c>
      <c r="AJ134" s="6">
        <v>102911</v>
      </c>
      <c r="AK134" s="6">
        <v>98189</v>
      </c>
      <c r="AL134" s="6">
        <v>89227</v>
      </c>
      <c r="AM134" s="6">
        <v>99515</v>
      </c>
      <c r="AN134" s="6">
        <v>95606</v>
      </c>
      <c r="AO134" s="6">
        <v>122625</v>
      </c>
      <c r="AP134" s="6">
        <v>116398</v>
      </c>
      <c r="AQ134" s="6">
        <v>83260</v>
      </c>
      <c r="AR134" s="6">
        <v>90701</v>
      </c>
      <c r="AS134" s="6">
        <v>87241</v>
      </c>
      <c r="AT134" s="6">
        <v>83104</v>
      </c>
      <c r="AU134" s="6">
        <v>95051</v>
      </c>
      <c r="AV134" s="6">
        <v>102920</v>
      </c>
      <c r="AW134" s="6">
        <v>97108</v>
      </c>
      <c r="AX134" s="6">
        <v>96425</v>
      </c>
      <c r="AY134" s="6">
        <v>94753</v>
      </c>
      <c r="AZ134" s="6">
        <v>104929</v>
      </c>
      <c r="BA134" s="6">
        <v>121093</v>
      </c>
      <c r="BB134" s="6">
        <v>98673</v>
      </c>
      <c r="BC134" s="6">
        <v>53077</v>
      </c>
      <c r="BD134" s="6">
        <v>79091</v>
      </c>
      <c r="BE134" s="6">
        <v>67491</v>
      </c>
      <c r="BF134" s="6">
        <v>61570</v>
      </c>
      <c r="BG134" s="6">
        <v>58360</v>
      </c>
      <c r="BH134" s="6">
        <v>71016</v>
      </c>
      <c r="BI134" s="6">
        <v>69836</v>
      </c>
      <c r="BJ134" s="6">
        <v>66403</v>
      </c>
      <c r="BK134" s="6">
        <v>73853</v>
      </c>
      <c r="BL134" s="6">
        <v>76567</v>
      </c>
      <c r="BM134" s="6">
        <v>100459</v>
      </c>
    </row>
    <row r="135" spans="1:65" x14ac:dyDescent="0.25">
      <c r="A135" s="1">
        <v>121</v>
      </c>
      <c r="B135" s="1">
        <f>VLOOKUP(E135,'[2]Peajes (1)'!$A:$D,4,0)</f>
        <v>6804</v>
      </c>
      <c r="C135" s="3" t="s">
        <v>177</v>
      </c>
      <c r="D135" s="3" t="s">
        <v>178</v>
      </c>
      <c r="E135" s="3" t="s">
        <v>183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</row>
    <row r="136" spans="1:65" x14ac:dyDescent="0.25">
      <c r="A136" s="1">
        <v>108</v>
      </c>
      <c r="B136" s="1">
        <f>VLOOKUP(E136,'[2]Peajes (1)'!$A:$D,4,0)</f>
        <v>3877</v>
      </c>
      <c r="C136" s="3" t="s">
        <v>166</v>
      </c>
      <c r="D136" s="3" t="s">
        <v>167</v>
      </c>
      <c r="E136" s="3" t="s">
        <v>169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111671</v>
      </c>
      <c r="AK136" s="6">
        <v>102953</v>
      </c>
      <c r="AL136" s="6">
        <v>95336</v>
      </c>
      <c r="AM136" s="6">
        <v>113155</v>
      </c>
      <c r="AN136" s="6">
        <v>103944</v>
      </c>
      <c r="AO136" s="6">
        <v>136925</v>
      </c>
      <c r="AP136" s="6">
        <v>130273</v>
      </c>
      <c r="AQ136" s="6">
        <v>91703</v>
      </c>
      <c r="AR136" s="6">
        <v>100488</v>
      </c>
      <c r="AS136" s="6">
        <v>116194</v>
      </c>
      <c r="AT136" s="6">
        <v>96136</v>
      </c>
      <c r="AU136" s="6">
        <v>112693</v>
      </c>
      <c r="AV136" s="6">
        <v>117643</v>
      </c>
      <c r="AW136" s="6">
        <v>106672</v>
      </c>
      <c r="AX136" s="6">
        <v>100078</v>
      </c>
      <c r="AY136" s="6">
        <v>109333</v>
      </c>
      <c r="AZ136" s="6">
        <v>110386</v>
      </c>
      <c r="BA136" s="6">
        <v>149573</v>
      </c>
      <c r="BB136" s="6">
        <v>115449</v>
      </c>
      <c r="BC136" s="6">
        <v>92218</v>
      </c>
      <c r="BD136" s="6">
        <v>123030</v>
      </c>
      <c r="BE136" s="6">
        <v>95059</v>
      </c>
      <c r="BF136" s="6">
        <v>100790</v>
      </c>
      <c r="BG136" s="6">
        <v>140738</v>
      </c>
      <c r="BH136" s="6">
        <v>116300</v>
      </c>
      <c r="BI136" s="6">
        <v>109774</v>
      </c>
      <c r="BJ136" s="6">
        <v>102910</v>
      </c>
      <c r="BK136" s="6">
        <v>114361</v>
      </c>
      <c r="BL136" s="6">
        <v>111805</v>
      </c>
      <c r="BM136" s="6">
        <v>153358</v>
      </c>
    </row>
    <row r="137" spans="1:65" x14ac:dyDescent="0.25">
      <c r="A137" s="1">
        <v>127</v>
      </c>
      <c r="B137" s="1">
        <f>VLOOKUP(E137,'[2]Peajes (1)'!$A:$D,4,0)</f>
        <v>3889</v>
      </c>
      <c r="C137" s="3" t="s">
        <v>189</v>
      </c>
      <c r="D137" s="3" t="s">
        <v>190</v>
      </c>
      <c r="E137" s="3" t="s">
        <v>193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>
        <v>0</v>
      </c>
      <c r="AE137" s="6">
        <v>0</v>
      </c>
      <c r="AF137" s="6">
        <v>0</v>
      </c>
      <c r="AG137" s="6">
        <v>0</v>
      </c>
      <c r="AH137" s="6">
        <v>31802</v>
      </c>
      <c r="AI137" s="6">
        <v>117870</v>
      </c>
      <c r="AJ137" s="6">
        <v>121786</v>
      </c>
      <c r="AK137" s="6">
        <v>122692</v>
      </c>
      <c r="AL137" s="6">
        <v>115241</v>
      </c>
      <c r="AM137" s="6">
        <v>118965</v>
      </c>
      <c r="AN137" s="6">
        <v>115915</v>
      </c>
      <c r="AO137" s="6">
        <v>142983</v>
      </c>
      <c r="AP137" s="6">
        <v>127832</v>
      </c>
      <c r="AQ137" s="6">
        <v>108600</v>
      </c>
      <c r="AR137" s="6">
        <v>119758</v>
      </c>
      <c r="AS137" s="6">
        <v>117277</v>
      </c>
      <c r="AT137" s="6">
        <v>118439</v>
      </c>
      <c r="AU137" s="6">
        <v>119790</v>
      </c>
      <c r="AV137" s="6">
        <v>125238</v>
      </c>
      <c r="AW137" s="6">
        <v>124976</v>
      </c>
      <c r="AX137" s="6">
        <v>118004</v>
      </c>
      <c r="AY137" s="6">
        <v>123163</v>
      </c>
      <c r="AZ137" s="6">
        <v>121310</v>
      </c>
      <c r="BA137" s="6">
        <v>145612</v>
      </c>
      <c r="BB137" s="6">
        <v>133587</v>
      </c>
      <c r="BC137" s="6">
        <v>66367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</row>
    <row r="138" spans="1:65" x14ac:dyDescent="0.25">
      <c r="A138" s="1">
        <v>153</v>
      </c>
      <c r="B138" s="1">
        <f>VLOOKUP(E138,'[2]Peajes (1)'!$A:$D,4,0)</f>
        <v>3986</v>
      </c>
      <c r="C138" s="3" t="s">
        <v>228</v>
      </c>
      <c r="D138" s="3" t="s">
        <v>229</v>
      </c>
      <c r="E138" s="3" t="s">
        <v>251</v>
      </c>
      <c r="F138" s="6">
        <v>179553</v>
      </c>
      <c r="G138" s="6">
        <v>110333</v>
      </c>
      <c r="H138" s="6">
        <v>119472</v>
      </c>
      <c r="I138" s="6">
        <v>145970</v>
      </c>
      <c r="J138" s="6">
        <v>144223</v>
      </c>
      <c r="K138" s="6">
        <v>138532</v>
      </c>
      <c r="L138" s="6">
        <v>125756</v>
      </c>
      <c r="M138" s="6">
        <v>128825</v>
      </c>
      <c r="N138" s="6">
        <v>115125</v>
      </c>
      <c r="O138" s="6">
        <v>138574</v>
      </c>
      <c r="P138" s="6">
        <v>137945</v>
      </c>
      <c r="Q138" s="6">
        <v>169631</v>
      </c>
      <c r="R138" s="6">
        <v>183398</v>
      </c>
      <c r="S138" s="6">
        <v>109118</v>
      </c>
      <c r="T138" s="6">
        <v>125041</v>
      </c>
      <c r="U138" s="6">
        <v>138589</v>
      </c>
      <c r="V138" s="6">
        <v>125833</v>
      </c>
      <c r="W138" s="6">
        <v>144465</v>
      </c>
      <c r="X138" s="6">
        <v>143866</v>
      </c>
      <c r="Y138" s="6">
        <v>138878</v>
      </c>
      <c r="Z138" s="6">
        <v>123164</v>
      </c>
      <c r="AA138" s="6">
        <v>148410</v>
      </c>
      <c r="AB138" s="6">
        <v>139253</v>
      </c>
      <c r="AC138" s="6">
        <v>180265</v>
      </c>
      <c r="AD138" s="6">
        <v>191839</v>
      </c>
      <c r="AE138" s="6">
        <v>113766</v>
      </c>
      <c r="AF138" s="6">
        <v>154733</v>
      </c>
      <c r="AG138" s="6">
        <v>111937</v>
      </c>
      <c r="AH138" s="6">
        <v>127895</v>
      </c>
      <c r="AI138" s="6">
        <v>128810</v>
      </c>
      <c r="AJ138" s="6">
        <v>129025</v>
      </c>
      <c r="AK138" s="6">
        <v>132620</v>
      </c>
      <c r="AL138" s="6">
        <v>119282</v>
      </c>
      <c r="AM138" s="6">
        <v>139235</v>
      </c>
      <c r="AN138" s="6">
        <v>136215</v>
      </c>
      <c r="AO138" s="6">
        <v>171958</v>
      </c>
      <c r="AP138" s="6">
        <v>184989</v>
      </c>
      <c r="AQ138" s="6">
        <v>111221</v>
      </c>
      <c r="AR138" s="6">
        <v>124150</v>
      </c>
      <c r="AS138" s="6">
        <v>149156</v>
      </c>
      <c r="AT138" s="6">
        <v>124186</v>
      </c>
      <c r="AU138" s="6">
        <v>137677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</row>
    <row r="139" spans="1:65" x14ac:dyDescent="0.25">
      <c r="A139" s="1">
        <v>128</v>
      </c>
      <c r="B139" s="1">
        <f>VLOOKUP(E139,'[2]Peajes (1)'!$A:$D,4,0)</f>
        <v>3981</v>
      </c>
      <c r="C139" s="3" t="s">
        <v>189</v>
      </c>
      <c r="D139" s="3" t="s">
        <v>190</v>
      </c>
      <c r="E139" s="3" t="s">
        <v>194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148957</v>
      </c>
      <c r="Z139" s="6">
        <v>127849</v>
      </c>
      <c r="AA139" s="6">
        <v>129824</v>
      </c>
      <c r="AB139" s="6">
        <v>129500</v>
      </c>
      <c r="AC139" s="6">
        <v>153537</v>
      </c>
      <c r="AD139" s="6">
        <v>147102</v>
      </c>
      <c r="AE139" s="6">
        <v>126869</v>
      </c>
      <c r="AF139" s="6">
        <v>142780</v>
      </c>
      <c r="AG139" s="6">
        <v>135545</v>
      </c>
      <c r="AH139" s="6">
        <v>137221</v>
      </c>
      <c r="AI139" s="6">
        <v>132636</v>
      </c>
      <c r="AJ139" s="6">
        <v>142226</v>
      </c>
      <c r="AK139" s="6">
        <v>137910</v>
      </c>
      <c r="AL139" s="6">
        <v>133742</v>
      </c>
      <c r="AM139" s="6">
        <v>140636</v>
      </c>
      <c r="AN139" s="6">
        <v>139151</v>
      </c>
      <c r="AO139" s="6">
        <v>157732</v>
      </c>
      <c r="AP139" s="6">
        <v>149512</v>
      </c>
      <c r="AQ139" s="6">
        <v>129572</v>
      </c>
      <c r="AR139" s="6">
        <v>148342</v>
      </c>
      <c r="AS139" s="6">
        <v>146411</v>
      </c>
      <c r="AT139" s="6">
        <v>150843</v>
      </c>
      <c r="AU139" s="6">
        <v>152720</v>
      </c>
      <c r="AV139" s="6">
        <v>162508</v>
      </c>
      <c r="AW139" s="6">
        <v>160439</v>
      </c>
      <c r="AX139" s="6">
        <v>158867</v>
      </c>
      <c r="AY139" s="6">
        <v>165781</v>
      </c>
      <c r="AZ139" s="6">
        <v>162366</v>
      </c>
      <c r="BA139" s="6">
        <v>185555</v>
      </c>
      <c r="BB139" s="6">
        <v>175205</v>
      </c>
      <c r="BC139" s="6">
        <v>93411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</row>
    <row r="140" spans="1:65" x14ac:dyDescent="0.25">
      <c r="A140" s="1">
        <v>122</v>
      </c>
      <c r="B140" s="1">
        <f>VLOOKUP(E140,'[2]Peajes (1)'!$A:$D,4,0)</f>
        <v>3820</v>
      </c>
      <c r="C140" s="3" t="s">
        <v>177</v>
      </c>
      <c r="D140" s="3" t="s">
        <v>178</v>
      </c>
      <c r="E140" s="3" t="s">
        <v>184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8522</v>
      </c>
      <c r="AC140" s="6">
        <v>74294</v>
      </c>
      <c r="AD140" s="6">
        <v>81662</v>
      </c>
      <c r="AE140" s="6">
        <v>57323</v>
      </c>
      <c r="AF140" s="6">
        <v>74191</v>
      </c>
      <c r="AG140" s="6">
        <v>54475</v>
      </c>
      <c r="AH140" s="6">
        <v>60597</v>
      </c>
      <c r="AI140" s="6">
        <v>59654</v>
      </c>
      <c r="AJ140" s="6">
        <v>61792</v>
      </c>
      <c r="AK140" s="6">
        <v>61326</v>
      </c>
      <c r="AL140" s="6">
        <v>55921</v>
      </c>
      <c r="AM140" s="6">
        <v>56442</v>
      </c>
      <c r="AN140" s="6">
        <v>54804</v>
      </c>
      <c r="AO140" s="6">
        <v>66585</v>
      </c>
      <c r="AP140" s="6">
        <v>73361</v>
      </c>
      <c r="AQ140" s="6">
        <v>50144</v>
      </c>
      <c r="AR140" s="6">
        <v>56357</v>
      </c>
      <c r="AS140" s="6">
        <v>68002</v>
      </c>
      <c r="AT140" s="6">
        <v>55238</v>
      </c>
      <c r="AU140" s="6">
        <v>60156</v>
      </c>
      <c r="AV140" s="6">
        <v>58784</v>
      </c>
      <c r="AW140" s="6">
        <v>56056</v>
      </c>
      <c r="AX140" s="6">
        <v>53654</v>
      </c>
      <c r="AY140" s="6">
        <v>54549</v>
      </c>
      <c r="AZ140" s="6">
        <v>54226</v>
      </c>
      <c r="BA140" s="6">
        <v>68017</v>
      </c>
      <c r="BB140" s="6">
        <v>75748</v>
      </c>
      <c r="BC140" s="6">
        <v>51664</v>
      </c>
      <c r="BD140" s="6">
        <v>63951</v>
      </c>
      <c r="BE140" s="6">
        <v>60540</v>
      </c>
      <c r="BF140" s="6">
        <v>56138</v>
      </c>
      <c r="BG140" s="6">
        <v>58363</v>
      </c>
      <c r="BH140" s="6">
        <v>62393</v>
      </c>
      <c r="BI140" s="6">
        <v>58692</v>
      </c>
      <c r="BJ140" s="6">
        <v>53250</v>
      </c>
      <c r="BK140" s="6">
        <v>57009</v>
      </c>
      <c r="BL140" s="6">
        <v>55632</v>
      </c>
      <c r="BM140" s="6">
        <v>71468</v>
      </c>
    </row>
    <row r="141" spans="1:65" x14ac:dyDescent="0.25">
      <c r="A141" s="1">
        <v>150</v>
      </c>
      <c r="B141" s="1">
        <f>VLOOKUP(E141,'[2]Peajes (1)'!$A:$D,4,0)</f>
        <v>3888</v>
      </c>
      <c r="C141" s="3" t="s">
        <v>225</v>
      </c>
      <c r="D141" s="3" t="s">
        <v>226</v>
      </c>
      <c r="E141" s="3" t="s">
        <v>227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59307</v>
      </c>
      <c r="AA141" s="6">
        <v>80159</v>
      </c>
      <c r="AB141" s="6">
        <v>75465</v>
      </c>
      <c r="AC141" s="6">
        <v>85765</v>
      </c>
      <c r="AD141" s="6">
        <v>85122</v>
      </c>
      <c r="AE141" s="6">
        <v>65585</v>
      </c>
      <c r="AF141" s="6">
        <v>74338</v>
      </c>
      <c r="AG141" s="6">
        <v>65591</v>
      </c>
      <c r="AH141" s="6">
        <v>68147</v>
      </c>
      <c r="AI141" s="6">
        <v>69837</v>
      </c>
      <c r="AJ141" s="6">
        <v>70869</v>
      </c>
      <c r="AK141" s="6">
        <v>74179</v>
      </c>
      <c r="AL141" s="6">
        <v>66609</v>
      </c>
      <c r="AM141" s="6">
        <v>73338</v>
      </c>
      <c r="AN141" s="6">
        <v>71301</v>
      </c>
      <c r="AO141" s="6">
        <v>83320</v>
      </c>
      <c r="AP141" s="6">
        <v>84332</v>
      </c>
      <c r="AQ141" s="6">
        <v>64049</v>
      </c>
      <c r="AR141" s="6">
        <v>73278</v>
      </c>
      <c r="AS141" s="6">
        <v>76955</v>
      </c>
      <c r="AT141" s="6">
        <v>76775</v>
      </c>
      <c r="AU141" s="6">
        <v>75828</v>
      </c>
      <c r="AV141" s="6">
        <v>75756</v>
      </c>
      <c r="AW141" s="6">
        <v>84030</v>
      </c>
      <c r="AX141" s="6">
        <v>81627</v>
      </c>
      <c r="AY141" s="6">
        <v>77562</v>
      </c>
      <c r="AZ141" s="6">
        <v>75690</v>
      </c>
      <c r="BA141" s="6">
        <v>87695</v>
      </c>
      <c r="BB141" s="6">
        <v>86552</v>
      </c>
      <c r="BC141" s="6">
        <v>66689</v>
      </c>
      <c r="BD141" s="6">
        <v>76136</v>
      </c>
      <c r="BE141" s="6">
        <v>72343</v>
      </c>
      <c r="BF141" s="6">
        <v>77115</v>
      </c>
      <c r="BG141" s="6">
        <v>76355</v>
      </c>
      <c r="BH141" s="6">
        <v>80658</v>
      </c>
      <c r="BI141" s="6">
        <v>87461</v>
      </c>
      <c r="BJ141" s="6">
        <v>77080</v>
      </c>
      <c r="BK141" s="6">
        <v>79908</v>
      </c>
      <c r="BL141" s="6">
        <v>78649</v>
      </c>
      <c r="BM141" s="6">
        <v>91236</v>
      </c>
    </row>
    <row r="142" spans="1:65" x14ac:dyDescent="0.25">
      <c r="A142" s="1">
        <v>5</v>
      </c>
      <c r="B142" s="1">
        <f>VLOOKUP(E142,'[2]Peajes (1)'!$A:$D,4,0)</f>
        <v>3929</v>
      </c>
      <c r="C142" s="3" t="s">
        <v>4</v>
      </c>
      <c r="D142" s="3" t="s">
        <v>5</v>
      </c>
      <c r="E142" s="3" t="s">
        <v>249</v>
      </c>
      <c r="F142" s="6">
        <v>113738</v>
      </c>
      <c r="G142" s="6">
        <v>75091</v>
      </c>
      <c r="H142" s="6">
        <v>85312</v>
      </c>
      <c r="I142" s="6">
        <v>100550</v>
      </c>
      <c r="J142" s="6">
        <v>87021</v>
      </c>
      <c r="K142" s="6">
        <v>95544</v>
      </c>
      <c r="L142" s="6">
        <v>95918</v>
      </c>
      <c r="M142" s="6">
        <v>99682</v>
      </c>
      <c r="N142" s="6">
        <v>85022</v>
      </c>
      <c r="O142" s="6">
        <v>99559</v>
      </c>
      <c r="P142" s="6">
        <v>96145</v>
      </c>
      <c r="Q142" s="6">
        <v>121663</v>
      </c>
      <c r="R142" s="6">
        <v>130338</v>
      </c>
      <c r="S142" s="6">
        <v>83074</v>
      </c>
      <c r="T142" s="6">
        <v>88004</v>
      </c>
      <c r="U142" s="6">
        <v>102523</v>
      </c>
      <c r="V142" s="6">
        <v>96403</v>
      </c>
      <c r="W142" s="6">
        <v>110040</v>
      </c>
      <c r="X142" s="6">
        <v>106602</v>
      </c>
      <c r="Y142" s="6">
        <v>109759</v>
      </c>
      <c r="Z142" s="6">
        <v>94781</v>
      </c>
      <c r="AA142" s="6">
        <v>107450</v>
      </c>
      <c r="AB142" s="6">
        <v>101660</v>
      </c>
      <c r="AC142" s="6">
        <v>132833</v>
      </c>
      <c r="AD142" s="6">
        <v>138482</v>
      </c>
      <c r="AE142" s="6">
        <v>89924</v>
      </c>
      <c r="AF142" s="6">
        <v>120544</v>
      </c>
      <c r="AG142" s="6">
        <v>88754</v>
      </c>
      <c r="AH142" s="6">
        <v>101169</v>
      </c>
      <c r="AI142" s="6">
        <v>93851</v>
      </c>
      <c r="AJ142" s="6">
        <v>101415</v>
      </c>
      <c r="AK142" s="6">
        <v>116768</v>
      </c>
      <c r="AL142" s="6">
        <v>94668</v>
      </c>
      <c r="AM142" s="6">
        <v>106737</v>
      </c>
      <c r="AN142" s="6">
        <v>100826</v>
      </c>
      <c r="AO142" s="6">
        <v>125486</v>
      </c>
      <c r="AP142" s="6">
        <v>136808</v>
      </c>
      <c r="AQ142" s="6">
        <v>86150</v>
      </c>
      <c r="AR142" s="6">
        <v>94176</v>
      </c>
      <c r="AS142" s="6">
        <v>108604</v>
      </c>
      <c r="AT142" s="6">
        <v>87896</v>
      </c>
      <c r="AU142" s="6">
        <v>105126</v>
      </c>
      <c r="AV142" s="6">
        <v>106744</v>
      </c>
      <c r="AW142" s="6">
        <v>106499</v>
      </c>
      <c r="AX142" s="6">
        <v>93052</v>
      </c>
      <c r="AY142" s="6">
        <v>103511</v>
      </c>
      <c r="AZ142" s="6">
        <v>98207</v>
      </c>
      <c r="BA142" s="6">
        <v>124049</v>
      </c>
      <c r="BB142" s="6">
        <v>91233</v>
      </c>
      <c r="BC142" s="6">
        <v>12290</v>
      </c>
      <c r="BD142" s="6">
        <v>59931</v>
      </c>
      <c r="BE142" s="6">
        <v>70013</v>
      </c>
      <c r="BF142" s="6">
        <v>58064</v>
      </c>
      <c r="BG142" s="6">
        <v>57158</v>
      </c>
      <c r="BH142" s="6">
        <v>73155</v>
      </c>
      <c r="BI142" s="6">
        <v>72017</v>
      </c>
      <c r="BJ142" s="6">
        <v>62237</v>
      </c>
      <c r="BK142" s="6">
        <v>70119</v>
      </c>
      <c r="BL142" s="6">
        <v>67190</v>
      </c>
      <c r="BM142" s="6">
        <v>93636</v>
      </c>
    </row>
    <row r="143" spans="1:65" x14ac:dyDescent="0.25">
      <c r="A143" s="1">
        <v>9</v>
      </c>
      <c r="B143" s="1">
        <f>VLOOKUP(E143,'[2]Peajes (1)'!$A:$D,4,0)</f>
        <v>3943</v>
      </c>
      <c r="C143" s="3" t="s">
        <v>13</v>
      </c>
      <c r="D143" s="3" t="s">
        <v>14</v>
      </c>
      <c r="E143" s="3" t="s">
        <v>16</v>
      </c>
      <c r="F143" s="6">
        <v>520284</v>
      </c>
      <c r="G143" s="6">
        <v>393274</v>
      </c>
      <c r="H143" s="6">
        <v>451514</v>
      </c>
      <c r="I143" s="6">
        <v>467993</v>
      </c>
      <c r="J143" s="6">
        <v>437452</v>
      </c>
      <c r="K143" s="6">
        <v>473408</v>
      </c>
      <c r="L143" s="6">
        <v>448398</v>
      </c>
      <c r="M143" s="6">
        <v>494793</v>
      </c>
      <c r="N143" s="6">
        <v>431537</v>
      </c>
      <c r="O143" s="6">
        <v>483431</v>
      </c>
      <c r="P143" s="6">
        <v>468163</v>
      </c>
      <c r="Q143" s="6">
        <v>560315</v>
      </c>
      <c r="R143" s="6">
        <v>552456</v>
      </c>
      <c r="S143" s="6">
        <v>417070</v>
      </c>
      <c r="T143" s="6">
        <v>494647</v>
      </c>
      <c r="U143" s="6">
        <v>475905</v>
      </c>
      <c r="V143" s="6">
        <v>501459</v>
      </c>
      <c r="W143" s="6">
        <v>518577</v>
      </c>
      <c r="X143" s="6">
        <v>511152</v>
      </c>
      <c r="Y143" s="6">
        <v>537049</v>
      </c>
      <c r="Z143" s="6">
        <v>472496</v>
      </c>
      <c r="AA143" s="6">
        <v>532647</v>
      </c>
      <c r="AB143" s="6">
        <v>515292</v>
      </c>
      <c r="AC143" s="6">
        <v>617766</v>
      </c>
      <c r="AD143" s="6">
        <v>593082</v>
      </c>
      <c r="AE143" s="6">
        <v>434027</v>
      </c>
      <c r="AF143" s="6">
        <v>521217</v>
      </c>
      <c r="AG143" s="6">
        <v>453812</v>
      </c>
      <c r="AH143" s="6">
        <v>506815</v>
      </c>
      <c r="AI143" s="6">
        <v>504687</v>
      </c>
      <c r="AJ143" s="6">
        <v>549385</v>
      </c>
      <c r="AK143" s="6">
        <v>509549</v>
      </c>
      <c r="AL143" s="6">
        <v>457250</v>
      </c>
      <c r="AM143" s="6">
        <v>517612</v>
      </c>
      <c r="AN143" s="6">
        <v>489411</v>
      </c>
      <c r="AO143" s="6">
        <v>577447</v>
      </c>
      <c r="AP143" s="6">
        <v>575904</v>
      </c>
      <c r="AQ143" s="6">
        <v>417046</v>
      </c>
      <c r="AR143" s="6">
        <v>472573</v>
      </c>
      <c r="AS143" s="6">
        <v>513748</v>
      </c>
      <c r="AT143" s="6">
        <v>486372</v>
      </c>
      <c r="AU143" s="6">
        <v>516437</v>
      </c>
      <c r="AV143" s="6">
        <v>530428</v>
      </c>
      <c r="AW143" s="6">
        <v>526387</v>
      </c>
      <c r="AX143" s="6">
        <v>471594</v>
      </c>
      <c r="AY143" s="6">
        <v>533782</v>
      </c>
      <c r="AZ143" s="6">
        <v>516934</v>
      </c>
      <c r="BA143" s="6">
        <v>623747</v>
      </c>
      <c r="BB143" s="6">
        <v>601053</v>
      </c>
      <c r="BC143" s="6">
        <v>440175</v>
      </c>
      <c r="BD143" s="6">
        <v>539342</v>
      </c>
      <c r="BE143" s="6">
        <v>480563</v>
      </c>
      <c r="BF143" s="6">
        <v>492264</v>
      </c>
      <c r="BG143" s="6">
        <v>532519</v>
      </c>
      <c r="BH143" s="6">
        <v>558465</v>
      </c>
      <c r="BI143" s="6">
        <v>543760</v>
      </c>
      <c r="BJ143" s="6">
        <v>498169</v>
      </c>
      <c r="BK143" s="6">
        <v>537613</v>
      </c>
      <c r="BL143" s="6">
        <v>525803</v>
      </c>
      <c r="BM143" s="6">
        <v>636909</v>
      </c>
    </row>
    <row r="144" spans="1:65" x14ac:dyDescent="0.25">
      <c r="A144" s="1">
        <v>100</v>
      </c>
      <c r="B144" s="1">
        <f>VLOOKUP(E144,'[2]Peajes (1)'!$A:$D,4,0)</f>
        <v>3949</v>
      </c>
      <c r="C144" s="3" t="s">
        <v>147</v>
      </c>
      <c r="D144" s="3" t="s">
        <v>148</v>
      </c>
      <c r="E144" s="3" t="s">
        <v>150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159155</v>
      </c>
      <c r="R144" s="6">
        <v>169486</v>
      </c>
      <c r="S144" s="6">
        <v>108160</v>
      </c>
      <c r="T144" s="6">
        <v>118745</v>
      </c>
      <c r="U144" s="6">
        <v>134812</v>
      </c>
      <c r="V144" s="6">
        <v>128139</v>
      </c>
      <c r="W144" s="6">
        <v>146775</v>
      </c>
      <c r="X144" s="6">
        <v>140668</v>
      </c>
      <c r="Y144" s="6">
        <v>144012</v>
      </c>
      <c r="Z144" s="6">
        <v>124563</v>
      </c>
      <c r="AA144" s="6">
        <v>142040</v>
      </c>
      <c r="AB144" s="6">
        <v>134225</v>
      </c>
      <c r="AC144" s="6">
        <v>173317</v>
      </c>
      <c r="AD144" s="6">
        <v>181113</v>
      </c>
      <c r="AE144" s="6">
        <v>120263</v>
      </c>
      <c r="AF144" s="6">
        <v>166732</v>
      </c>
      <c r="AG144" s="6">
        <v>116819</v>
      </c>
      <c r="AH144" s="6">
        <v>135567</v>
      </c>
      <c r="AI144" s="6">
        <v>131002</v>
      </c>
      <c r="AJ144" s="6">
        <v>139575</v>
      </c>
      <c r="AK144" s="6">
        <v>156531</v>
      </c>
      <c r="AL144" s="6">
        <v>127075</v>
      </c>
      <c r="AM144" s="6">
        <v>144717</v>
      </c>
      <c r="AN144" s="6">
        <v>137236</v>
      </c>
      <c r="AO144" s="6">
        <v>168118</v>
      </c>
      <c r="AP144" s="6">
        <v>183076</v>
      </c>
      <c r="AQ144" s="6">
        <v>117369</v>
      </c>
      <c r="AR144" s="6">
        <v>129101</v>
      </c>
      <c r="AS144" s="6">
        <v>147243</v>
      </c>
      <c r="AT144" s="6">
        <v>123510</v>
      </c>
      <c r="AU144" s="6">
        <v>146363</v>
      </c>
      <c r="AV144" s="6">
        <v>147640</v>
      </c>
      <c r="AW144" s="6">
        <v>146777</v>
      </c>
      <c r="AX144" s="6">
        <v>128391</v>
      </c>
      <c r="AY144" s="6">
        <v>142544</v>
      </c>
      <c r="AZ144" s="6">
        <v>135821</v>
      </c>
      <c r="BA144" s="6">
        <v>174110</v>
      </c>
      <c r="BB144" s="6">
        <v>176360</v>
      </c>
      <c r="BC144" s="6">
        <v>108525</v>
      </c>
      <c r="BD144" s="6">
        <v>141348</v>
      </c>
      <c r="BE144" s="6">
        <v>130131</v>
      </c>
      <c r="BF144" s="6">
        <v>120885</v>
      </c>
      <c r="BG144" s="6">
        <v>135376</v>
      </c>
      <c r="BH144" s="6">
        <v>147951</v>
      </c>
      <c r="BI144" s="6">
        <v>145196</v>
      </c>
      <c r="BJ144" s="6">
        <v>124476</v>
      </c>
      <c r="BK144" s="6">
        <v>142380</v>
      </c>
      <c r="BL144" s="6">
        <v>133701</v>
      </c>
      <c r="BM144" s="6">
        <v>164911</v>
      </c>
    </row>
    <row r="145" spans="1:65" x14ac:dyDescent="0.25">
      <c r="A145" s="1">
        <v>6</v>
      </c>
      <c r="B145" s="1">
        <f>VLOOKUP(E145,'[2]Peajes (1)'!$A:$D,4,0)</f>
        <v>3870</v>
      </c>
      <c r="C145" s="3" t="s">
        <v>4</v>
      </c>
      <c r="D145" s="3" t="s">
        <v>5</v>
      </c>
      <c r="E145" s="3" t="s">
        <v>11</v>
      </c>
      <c r="F145" s="6">
        <v>78432</v>
      </c>
      <c r="G145" s="6">
        <v>62201</v>
      </c>
      <c r="H145" s="6">
        <v>68486</v>
      </c>
      <c r="I145" s="6">
        <v>69421</v>
      </c>
      <c r="J145" s="6">
        <v>70363</v>
      </c>
      <c r="K145" s="6">
        <v>66666</v>
      </c>
      <c r="L145" s="6">
        <v>71464</v>
      </c>
      <c r="M145" s="6">
        <v>72440</v>
      </c>
      <c r="N145" s="6">
        <v>69661</v>
      </c>
      <c r="O145" s="6">
        <v>77056</v>
      </c>
      <c r="P145" s="6">
        <v>72435</v>
      </c>
      <c r="Q145" s="6">
        <v>79248</v>
      </c>
      <c r="R145" s="6">
        <v>87856</v>
      </c>
      <c r="S145" s="6">
        <v>68238</v>
      </c>
      <c r="T145" s="6">
        <v>66615</v>
      </c>
      <c r="U145" s="6">
        <v>73789</v>
      </c>
      <c r="V145" s="6">
        <v>73151</v>
      </c>
      <c r="W145" s="6">
        <v>73294</v>
      </c>
      <c r="X145" s="6">
        <v>79329</v>
      </c>
      <c r="Y145" s="6">
        <v>79141</v>
      </c>
      <c r="Z145" s="6">
        <v>83280</v>
      </c>
      <c r="AA145" s="6">
        <v>90582</v>
      </c>
      <c r="AB145" s="6">
        <v>89490</v>
      </c>
      <c r="AC145" s="6">
        <v>92986</v>
      </c>
      <c r="AD145" s="6">
        <v>102351</v>
      </c>
      <c r="AE145" s="6">
        <v>79860</v>
      </c>
      <c r="AF145" s="6">
        <v>87081</v>
      </c>
      <c r="AG145" s="6">
        <v>80870</v>
      </c>
      <c r="AH145" s="6">
        <v>83168</v>
      </c>
      <c r="AI145" s="6">
        <v>72835</v>
      </c>
      <c r="AJ145" s="6">
        <v>80616</v>
      </c>
      <c r="AK145" s="6">
        <v>151346</v>
      </c>
      <c r="AL145" s="6">
        <v>165040</v>
      </c>
      <c r="AM145" s="6">
        <v>99615</v>
      </c>
      <c r="AN145" s="6">
        <v>93678</v>
      </c>
      <c r="AO145" s="6">
        <v>101941</v>
      </c>
      <c r="AP145" s="6">
        <v>109776</v>
      </c>
      <c r="AQ145" s="6">
        <v>85098</v>
      </c>
      <c r="AR145" s="6">
        <v>89954</v>
      </c>
      <c r="AS145" s="6">
        <v>88638</v>
      </c>
      <c r="AT145" s="6">
        <v>85031</v>
      </c>
      <c r="AU145" s="6">
        <v>88404</v>
      </c>
      <c r="AV145" s="6">
        <v>91473</v>
      </c>
      <c r="AW145" s="6">
        <v>91169</v>
      </c>
      <c r="AX145" s="6">
        <v>84962</v>
      </c>
      <c r="AY145" s="6">
        <v>89086</v>
      </c>
      <c r="AZ145" s="6">
        <v>84045</v>
      </c>
      <c r="BA145" s="6">
        <v>104886</v>
      </c>
      <c r="BB145" s="6">
        <v>96067</v>
      </c>
      <c r="BC145" s="6">
        <v>59858</v>
      </c>
      <c r="BD145" s="6">
        <v>69606</v>
      </c>
      <c r="BE145" s="6">
        <v>72441</v>
      </c>
      <c r="BF145" s="6">
        <v>71817</v>
      </c>
      <c r="BG145" s="6">
        <v>60035</v>
      </c>
      <c r="BH145" s="6">
        <v>73961</v>
      </c>
      <c r="BI145" s="6">
        <v>73372</v>
      </c>
      <c r="BJ145" s="6">
        <v>69485</v>
      </c>
      <c r="BK145" s="6">
        <v>74292</v>
      </c>
      <c r="BL145" s="6">
        <v>69941</v>
      </c>
      <c r="BM145" s="6">
        <v>80484</v>
      </c>
    </row>
    <row r="146" spans="1:65" x14ac:dyDescent="0.25">
      <c r="A146" s="1">
        <v>7</v>
      </c>
      <c r="B146" s="1">
        <f>VLOOKUP(E146,'[2]Peajes (1)'!$A:$D,4,0)</f>
        <v>3897</v>
      </c>
      <c r="C146" s="3" t="s">
        <v>4</v>
      </c>
      <c r="D146" s="3" t="s">
        <v>5</v>
      </c>
      <c r="E146" s="3" t="s">
        <v>12</v>
      </c>
      <c r="F146" s="6">
        <v>248132</v>
      </c>
      <c r="G146" s="6">
        <v>177613</v>
      </c>
      <c r="H146" s="6">
        <v>200290</v>
      </c>
      <c r="I146" s="6">
        <v>218138</v>
      </c>
      <c r="J146" s="6">
        <v>200128</v>
      </c>
      <c r="K146" s="6">
        <v>213862</v>
      </c>
      <c r="L146" s="6">
        <v>215132</v>
      </c>
      <c r="M146" s="6">
        <v>224501</v>
      </c>
      <c r="N146" s="6">
        <v>197992</v>
      </c>
      <c r="O146" s="6">
        <v>223803</v>
      </c>
      <c r="P146" s="6">
        <v>220239</v>
      </c>
      <c r="Q146" s="6">
        <v>270060</v>
      </c>
      <c r="R146" s="6">
        <v>271942</v>
      </c>
      <c r="S146" s="6">
        <v>186620</v>
      </c>
      <c r="T146" s="6">
        <v>213915</v>
      </c>
      <c r="U146" s="6">
        <v>224181</v>
      </c>
      <c r="V146" s="6">
        <v>226622</v>
      </c>
      <c r="W146" s="6">
        <v>243605</v>
      </c>
      <c r="X146" s="6">
        <v>240292</v>
      </c>
      <c r="Y146" s="6">
        <v>240708</v>
      </c>
      <c r="Z146" s="6">
        <v>209842</v>
      </c>
      <c r="AA146" s="6">
        <v>230736</v>
      </c>
      <c r="AB146" s="6">
        <v>223407</v>
      </c>
      <c r="AC146" s="6">
        <v>285693</v>
      </c>
      <c r="AD146" s="6">
        <v>290506</v>
      </c>
      <c r="AE146" s="6">
        <v>202772</v>
      </c>
      <c r="AF146" s="6">
        <v>252465</v>
      </c>
      <c r="AG146" s="6">
        <v>210482</v>
      </c>
      <c r="AH146" s="6">
        <v>233791</v>
      </c>
      <c r="AI146" s="6">
        <v>231486</v>
      </c>
      <c r="AJ146" s="6">
        <v>242645</v>
      </c>
      <c r="AK146" s="6">
        <v>185606</v>
      </c>
      <c r="AL146" s="6">
        <v>138327</v>
      </c>
      <c r="AM146" s="6">
        <v>234563</v>
      </c>
      <c r="AN146" s="6">
        <v>227970</v>
      </c>
      <c r="AO146" s="6">
        <v>278000</v>
      </c>
      <c r="AP146" s="6">
        <v>289112</v>
      </c>
      <c r="AQ146" s="6">
        <v>194414</v>
      </c>
      <c r="AR146" s="6">
        <v>220196</v>
      </c>
      <c r="AS146" s="6">
        <v>240146</v>
      </c>
      <c r="AT146" s="6">
        <v>224577</v>
      </c>
      <c r="AU146" s="6">
        <v>241662</v>
      </c>
      <c r="AV146" s="6">
        <v>250220</v>
      </c>
      <c r="AW146" s="6">
        <v>244132</v>
      </c>
      <c r="AX146" s="6">
        <v>220255</v>
      </c>
      <c r="AY146" s="6">
        <v>244279</v>
      </c>
      <c r="AZ146" s="6">
        <v>242437</v>
      </c>
      <c r="BA146" s="6">
        <v>293664</v>
      </c>
      <c r="BB146" s="6">
        <v>276101</v>
      </c>
      <c r="BC146" s="6">
        <v>170038</v>
      </c>
      <c r="BD146" s="6">
        <v>240857</v>
      </c>
      <c r="BE146" s="6">
        <v>223729</v>
      </c>
      <c r="BF146" s="6">
        <v>221877</v>
      </c>
      <c r="BG146" s="6">
        <v>201231</v>
      </c>
      <c r="BH146" s="6">
        <v>252421</v>
      </c>
      <c r="BI146" s="6">
        <v>247129</v>
      </c>
      <c r="BJ146" s="6">
        <v>221736</v>
      </c>
      <c r="BK146" s="6">
        <v>241749</v>
      </c>
      <c r="BL146" s="6">
        <v>234737</v>
      </c>
      <c r="BM146" s="6">
        <v>290338</v>
      </c>
    </row>
    <row r="147" spans="1:65" x14ac:dyDescent="0.25">
      <c r="A147" s="1">
        <v>89</v>
      </c>
      <c r="B147" s="1">
        <f>VLOOKUP(E147,'[2]Peajes (1)'!$A:$D,4,0)</f>
        <v>3916</v>
      </c>
      <c r="C147" s="3" t="s">
        <v>121</v>
      </c>
      <c r="D147" s="3" t="s">
        <v>122</v>
      </c>
      <c r="E147" s="3" t="s">
        <v>127</v>
      </c>
      <c r="F147" s="6">
        <v>220529</v>
      </c>
      <c r="G147" s="6">
        <v>147878</v>
      </c>
      <c r="H147" s="6">
        <v>154824</v>
      </c>
      <c r="I147" s="6">
        <v>179772</v>
      </c>
      <c r="J147" s="6">
        <v>162375</v>
      </c>
      <c r="K147" s="6">
        <v>168661</v>
      </c>
      <c r="L147" s="6">
        <v>176553</v>
      </c>
      <c r="M147" s="6">
        <v>161492</v>
      </c>
      <c r="N147" s="6">
        <v>153319</v>
      </c>
      <c r="O147" s="6">
        <v>171788</v>
      </c>
      <c r="P147" s="6">
        <v>163399</v>
      </c>
      <c r="Q147" s="6">
        <v>191464</v>
      </c>
      <c r="R147" s="6">
        <v>217835</v>
      </c>
      <c r="S147" s="6">
        <v>152454</v>
      </c>
      <c r="T147" s="6">
        <v>171214</v>
      </c>
      <c r="U147" s="6">
        <v>176081</v>
      </c>
      <c r="V147" s="6">
        <v>169243</v>
      </c>
      <c r="W147" s="6">
        <v>173428</v>
      </c>
      <c r="X147" s="6">
        <v>184229</v>
      </c>
      <c r="Y147" s="6">
        <v>174712</v>
      </c>
      <c r="Z147" s="6">
        <v>165210</v>
      </c>
      <c r="AA147" s="6">
        <v>184233</v>
      </c>
      <c r="AB147" s="6">
        <v>172598</v>
      </c>
      <c r="AC147" s="6">
        <v>207003</v>
      </c>
      <c r="AD147" s="6">
        <v>234135</v>
      </c>
      <c r="AE147" s="6">
        <v>151783</v>
      </c>
      <c r="AF147" s="6">
        <v>183028</v>
      </c>
      <c r="AG147" s="6">
        <v>158484</v>
      </c>
      <c r="AH147" s="6">
        <v>163421</v>
      </c>
      <c r="AI147" s="6">
        <v>167776</v>
      </c>
      <c r="AJ147" s="6">
        <v>169309</v>
      </c>
      <c r="AK147" s="6">
        <v>172250</v>
      </c>
      <c r="AL147" s="6">
        <v>162009</v>
      </c>
      <c r="AM147" s="6">
        <v>174783</v>
      </c>
      <c r="AN147" s="6">
        <v>169189</v>
      </c>
      <c r="AO147" s="6">
        <v>205548</v>
      </c>
      <c r="AP147" s="6">
        <v>234790</v>
      </c>
      <c r="AQ147" s="6">
        <v>153785</v>
      </c>
      <c r="AR147" s="6">
        <v>168873</v>
      </c>
      <c r="AS147" s="6">
        <v>186192</v>
      </c>
      <c r="AT147" s="6">
        <v>168626</v>
      </c>
      <c r="AU147" s="6">
        <v>174852</v>
      </c>
      <c r="AV147" s="6">
        <v>175973</v>
      </c>
      <c r="AW147" s="6">
        <v>172286</v>
      </c>
      <c r="AX147" s="6">
        <v>164844</v>
      </c>
      <c r="AY147" s="6">
        <v>180779</v>
      </c>
      <c r="AZ147" s="6">
        <v>170851</v>
      </c>
      <c r="BA147" s="6">
        <v>212810</v>
      </c>
      <c r="BB147" s="6">
        <v>245396</v>
      </c>
      <c r="BC147" s="6">
        <v>155709</v>
      </c>
      <c r="BD147" s="6">
        <v>189006</v>
      </c>
      <c r="BE147" s="6">
        <v>184845</v>
      </c>
      <c r="BF147" s="6">
        <v>179888</v>
      </c>
      <c r="BG147" s="6">
        <v>188059</v>
      </c>
      <c r="BH147" s="6">
        <v>193380</v>
      </c>
      <c r="BI147" s="6">
        <v>179758</v>
      </c>
      <c r="BJ147" s="6">
        <v>169771</v>
      </c>
      <c r="BK147" s="6">
        <v>186504</v>
      </c>
      <c r="BL147" s="6">
        <v>179904</v>
      </c>
      <c r="BM147" s="6">
        <v>218307</v>
      </c>
    </row>
    <row r="148" spans="1:65" x14ac:dyDescent="0.25">
      <c r="A148" s="1">
        <v>45</v>
      </c>
      <c r="B148" s="1">
        <f>VLOOKUP(E148,'[2]Peajes (1)'!$A:$D,4,0)</f>
        <v>4805</v>
      </c>
      <c r="C148" s="3" t="s">
        <v>59</v>
      </c>
      <c r="D148" s="3" t="s">
        <v>60</v>
      </c>
      <c r="E148" s="3" t="s">
        <v>68</v>
      </c>
      <c r="F148" s="6">
        <v>198493</v>
      </c>
      <c r="G148" s="6">
        <v>152726</v>
      </c>
      <c r="H148" s="6">
        <v>164839</v>
      </c>
      <c r="I148" s="6">
        <v>184654</v>
      </c>
      <c r="J148" s="6">
        <v>160771</v>
      </c>
      <c r="K148" s="6">
        <v>174272</v>
      </c>
      <c r="L148" s="6">
        <v>188158</v>
      </c>
      <c r="M148" s="6">
        <v>185938</v>
      </c>
      <c r="N148" s="6">
        <v>166346</v>
      </c>
      <c r="O148" s="6">
        <v>184046</v>
      </c>
      <c r="P148" s="6">
        <v>178740</v>
      </c>
      <c r="Q148" s="6">
        <v>210932</v>
      </c>
      <c r="R148" s="6">
        <v>210679</v>
      </c>
      <c r="S148" s="6">
        <v>154223</v>
      </c>
      <c r="T148" s="6">
        <v>172795</v>
      </c>
      <c r="U148" s="6">
        <v>197188</v>
      </c>
      <c r="V148" s="6">
        <v>189699</v>
      </c>
      <c r="W148" s="6">
        <v>191620</v>
      </c>
      <c r="X148" s="6">
        <v>205159</v>
      </c>
      <c r="Y148" s="6">
        <v>203313</v>
      </c>
      <c r="Z148" s="6">
        <v>183438</v>
      </c>
      <c r="AA148" s="6">
        <v>198554</v>
      </c>
      <c r="AB148" s="6">
        <v>198157</v>
      </c>
      <c r="AC148" s="6">
        <v>238041</v>
      </c>
      <c r="AD148" s="6">
        <v>239447</v>
      </c>
      <c r="AE148" s="6">
        <v>183591</v>
      </c>
      <c r="AF148" s="6">
        <v>226546</v>
      </c>
      <c r="AG148" s="6">
        <v>186438</v>
      </c>
      <c r="AH148" s="6">
        <v>201084</v>
      </c>
      <c r="AI148" s="6">
        <v>133276</v>
      </c>
      <c r="AJ148" s="6">
        <v>214002</v>
      </c>
      <c r="AK148" s="6">
        <v>225164</v>
      </c>
      <c r="AL148" s="6">
        <v>199745</v>
      </c>
      <c r="AM148" s="6">
        <v>212793</v>
      </c>
      <c r="AN148" s="6">
        <v>214318</v>
      </c>
      <c r="AO148" s="6">
        <v>246716</v>
      </c>
      <c r="AP148" s="6">
        <v>247760</v>
      </c>
      <c r="AQ148" s="6">
        <v>182300</v>
      </c>
      <c r="AR148" s="6">
        <v>200406</v>
      </c>
      <c r="AS148" s="6">
        <v>226632</v>
      </c>
      <c r="AT148" s="6">
        <v>204134</v>
      </c>
      <c r="AU148" s="6">
        <v>213592</v>
      </c>
      <c r="AV148" s="6">
        <v>236214</v>
      </c>
      <c r="AW148" s="6">
        <v>228037</v>
      </c>
      <c r="AX148" s="6">
        <v>204792</v>
      </c>
      <c r="AY148" s="6">
        <v>207858</v>
      </c>
      <c r="AZ148" s="6">
        <v>181073</v>
      </c>
      <c r="BA148" s="6">
        <v>256717</v>
      </c>
      <c r="BB148" s="6">
        <v>257357</v>
      </c>
      <c r="BC148" s="6">
        <v>185831</v>
      </c>
      <c r="BD148" s="6">
        <v>235556</v>
      </c>
      <c r="BE148" s="6">
        <v>214390</v>
      </c>
      <c r="BF148" s="6">
        <v>208193</v>
      </c>
      <c r="BG148" s="6">
        <v>218417</v>
      </c>
      <c r="BH148" s="6">
        <v>241636</v>
      </c>
      <c r="BI148" s="6">
        <v>229114</v>
      </c>
      <c r="BJ148" s="6">
        <v>211439</v>
      </c>
      <c r="BK148" s="6">
        <v>228591</v>
      </c>
      <c r="BL148" s="6">
        <v>0</v>
      </c>
      <c r="BM148" s="6">
        <v>0</v>
      </c>
    </row>
    <row r="149" spans="1:65" x14ac:dyDescent="0.25">
      <c r="A149" s="1">
        <v>76</v>
      </c>
      <c r="B149" s="1">
        <f>VLOOKUP(E149,'[2]Peajes (1)'!$A:$D,4,0)</f>
        <v>3883</v>
      </c>
      <c r="C149" s="3" t="s">
        <v>100</v>
      </c>
      <c r="D149" s="3" t="s">
        <v>101</v>
      </c>
      <c r="E149" s="3" t="s">
        <v>108</v>
      </c>
      <c r="F149" s="6">
        <v>422394</v>
      </c>
      <c r="G149" s="6">
        <v>373969</v>
      </c>
      <c r="H149" s="6">
        <v>422538</v>
      </c>
      <c r="I149" s="6">
        <v>401435</v>
      </c>
      <c r="J149" s="6">
        <v>410986</v>
      </c>
      <c r="K149" s="6">
        <v>392097</v>
      </c>
      <c r="L149" s="6">
        <v>416746</v>
      </c>
      <c r="M149" s="6">
        <v>418520</v>
      </c>
      <c r="N149" s="6">
        <v>403047</v>
      </c>
      <c r="O149" s="6">
        <v>410260</v>
      </c>
      <c r="P149" s="6">
        <v>390871</v>
      </c>
      <c r="Q149" s="6">
        <v>455550</v>
      </c>
      <c r="R149" s="6">
        <v>444619</v>
      </c>
      <c r="S149" s="6">
        <v>388147</v>
      </c>
      <c r="T149" s="6">
        <v>444312</v>
      </c>
      <c r="U149" s="6">
        <v>423416</v>
      </c>
      <c r="V149" s="6">
        <v>441836</v>
      </c>
      <c r="W149" s="6">
        <v>415289</v>
      </c>
      <c r="X149" s="6">
        <v>441187</v>
      </c>
      <c r="Y149" s="6">
        <v>444170</v>
      </c>
      <c r="Z149" s="6">
        <v>427816</v>
      </c>
      <c r="AA149" s="6">
        <v>448279</v>
      </c>
      <c r="AB149" s="6">
        <v>423650</v>
      </c>
      <c r="AC149" s="6">
        <v>485591</v>
      </c>
      <c r="AD149" s="6">
        <v>481638</v>
      </c>
      <c r="AE149" s="6">
        <v>440258</v>
      </c>
      <c r="AF149" s="6">
        <v>480517</v>
      </c>
      <c r="AG149" s="6">
        <v>455233</v>
      </c>
      <c r="AH149" s="6">
        <v>474672</v>
      </c>
      <c r="AI149" s="6">
        <v>457723</v>
      </c>
      <c r="AJ149" s="6">
        <v>482933</v>
      </c>
      <c r="AK149" s="6">
        <v>481812</v>
      </c>
      <c r="AL149" s="6">
        <v>468534</v>
      </c>
      <c r="AM149" s="6">
        <v>471112</v>
      </c>
      <c r="AN149" s="6">
        <v>442580</v>
      </c>
      <c r="AO149" s="6">
        <v>516538</v>
      </c>
      <c r="AP149" s="6">
        <v>501050</v>
      </c>
      <c r="AQ149" s="6">
        <v>446770</v>
      </c>
      <c r="AR149" s="6">
        <v>518309</v>
      </c>
      <c r="AS149" s="6">
        <v>502487</v>
      </c>
      <c r="AT149" s="6">
        <v>513981</v>
      </c>
      <c r="AU149" s="6">
        <v>503437</v>
      </c>
      <c r="AV149" s="6">
        <v>527852</v>
      </c>
      <c r="AW149" s="6">
        <v>528266</v>
      </c>
      <c r="AX149" s="6">
        <v>497366</v>
      </c>
      <c r="AY149" s="6">
        <v>523040</v>
      </c>
      <c r="AZ149" s="6">
        <v>484644</v>
      </c>
      <c r="BA149" s="6">
        <v>562271</v>
      </c>
      <c r="BB149" s="6">
        <v>540918</v>
      </c>
      <c r="BC149" s="6">
        <v>478475</v>
      </c>
      <c r="BD149" s="6">
        <v>542173</v>
      </c>
      <c r="BE149" s="6">
        <v>521376</v>
      </c>
      <c r="BF149" s="6">
        <v>525838</v>
      </c>
      <c r="BG149" s="6">
        <v>506831</v>
      </c>
      <c r="BH149" s="6">
        <v>540190</v>
      </c>
      <c r="BI149" s="6">
        <v>543660</v>
      </c>
      <c r="BJ149" s="6">
        <v>524894</v>
      </c>
      <c r="BK149" s="6">
        <v>538207</v>
      </c>
      <c r="BL149" s="6">
        <v>503249</v>
      </c>
      <c r="BM149" s="6">
        <v>578335</v>
      </c>
    </row>
    <row r="150" spans="1:65" x14ac:dyDescent="0.25">
      <c r="A150" s="1">
        <v>54</v>
      </c>
      <c r="B150" s="1">
        <f>VLOOKUP(E150,'[2]Peajes (1)'!$A:$D,4,0)</f>
        <v>3813</v>
      </c>
      <c r="C150" s="3" t="s">
        <v>79</v>
      </c>
      <c r="D150" s="3" t="s">
        <v>80</v>
      </c>
      <c r="E150" s="3" t="s">
        <v>83</v>
      </c>
      <c r="F150" s="6">
        <v>372570</v>
      </c>
      <c r="G150" s="6">
        <v>283016</v>
      </c>
      <c r="H150" s="6">
        <v>319505</v>
      </c>
      <c r="I150" s="6">
        <v>319827</v>
      </c>
      <c r="J150" s="6">
        <v>284738</v>
      </c>
      <c r="K150" s="6">
        <v>333360</v>
      </c>
      <c r="L150" s="6">
        <v>328492</v>
      </c>
      <c r="M150" s="6">
        <v>339087</v>
      </c>
      <c r="N150" s="6">
        <v>309825</v>
      </c>
      <c r="O150" s="6">
        <v>346329</v>
      </c>
      <c r="P150" s="6">
        <v>331778</v>
      </c>
      <c r="Q150" s="6">
        <v>423677</v>
      </c>
      <c r="R150" s="6">
        <v>402865</v>
      </c>
      <c r="S150" s="6">
        <v>301918</v>
      </c>
      <c r="T150" s="6">
        <v>325620</v>
      </c>
      <c r="U150" s="6">
        <v>347121</v>
      </c>
      <c r="V150" s="6">
        <v>358463</v>
      </c>
      <c r="W150" s="6">
        <v>369866</v>
      </c>
      <c r="X150" s="6">
        <v>363008</v>
      </c>
      <c r="Y150" s="6">
        <v>364345</v>
      </c>
      <c r="Z150" s="6">
        <v>336203</v>
      </c>
      <c r="AA150" s="6">
        <v>378277</v>
      </c>
      <c r="AB150" s="6">
        <v>362430</v>
      </c>
      <c r="AC150" s="6">
        <v>465765</v>
      </c>
      <c r="AD150" s="6">
        <v>429577</v>
      </c>
      <c r="AE150" s="6">
        <v>327420</v>
      </c>
      <c r="AF150" s="6">
        <v>391400</v>
      </c>
      <c r="AG150" s="6">
        <v>335927</v>
      </c>
      <c r="AH150" s="6">
        <v>370244</v>
      </c>
      <c r="AI150" s="6">
        <v>351435</v>
      </c>
      <c r="AJ150" s="6">
        <v>298344</v>
      </c>
      <c r="AK150" s="6">
        <v>385503</v>
      </c>
      <c r="AL150" s="6">
        <v>348838</v>
      </c>
      <c r="AM150" s="6">
        <v>387402</v>
      </c>
      <c r="AN150" s="6">
        <v>372255</v>
      </c>
      <c r="AO150" s="6">
        <v>469794</v>
      </c>
      <c r="AP150" s="6">
        <v>437526</v>
      </c>
      <c r="AQ150" s="6">
        <v>332254</v>
      </c>
      <c r="AR150" s="6">
        <v>370023</v>
      </c>
      <c r="AS150" s="6">
        <v>391190</v>
      </c>
      <c r="AT150" s="6">
        <v>375784</v>
      </c>
      <c r="AU150" s="6">
        <v>384044</v>
      </c>
      <c r="AV150" s="6">
        <v>403165</v>
      </c>
      <c r="AW150" s="6">
        <v>393365</v>
      </c>
      <c r="AX150" s="6">
        <v>357639</v>
      </c>
      <c r="AY150" s="6">
        <v>395743</v>
      </c>
      <c r="AZ150" s="6">
        <v>387669</v>
      </c>
      <c r="BA150" s="6">
        <v>502659</v>
      </c>
      <c r="BB150" s="6">
        <v>460916</v>
      </c>
      <c r="BC150" s="6">
        <v>342177</v>
      </c>
      <c r="BD150" s="6">
        <v>410338</v>
      </c>
      <c r="BE150" s="6">
        <v>370527</v>
      </c>
      <c r="BF150" s="6">
        <v>385147</v>
      </c>
      <c r="BG150" s="6">
        <v>405375</v>
      </c>
      <c r="BH150" s="6">
        <v>428274</v>
      </c>
      <c r="BI150" s="6">
        <v>422143</v>
      </c>
      <c r="BJ150" s="6">
        <v>388911</v>
      </c>
      <c r="BK150" s="6">
        <v>419903</v>
      </c>
      <c r="BL150" s="6">
        <v>417536</v>
      </c>
      <c r="BM150" s="6">
        <v>541955</v>
      </c>
    </row>
    <row r="151" spans="1:65" s="10" customFormat="1" hidden="1" x14ac:dyDescent="0.25">
      <c r="A151" s="8">
        <v>19</v>
      </c>
      <c r="B151" s="1">
        <f>VLOOKUP(E151,'[2]Peajes (1)'!$A:$D,4,0)</f>
        <v>3860</v>
      </c>
      <c r="C151" s="8" t="s">
        <v>26</v>
      </c>
      <c r="D151" s="8" t="s">
        <v>27</v>
      </c>
      <c r="E151" s="8" t="s">
        <v>30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>
        <v>6918</v>
      </c>
      <c r="AE151" s="6">
        <v>7898</v>
      </c>
      <c r="AF151" s="6">
        <v>8454</v>
      </c>
      <c r="AG151" s="6">
        <v>7808</v>
      </c>
      <c r="AH151" s="6">
        <v>7005</v>
      </c>
      <c r="AI151" s="6">
        <v>6104</v>
      </c>
      <c r="AJ151" s="6">
        <v>6307</v>
      </c>
      <c r="AK151" s="6">
        <v>8184</v>
      </c>
      <c r="AL151" s="6">
        <v>5835</v>
      </c>
      <c r="AM151" s="6">
        <v>6378</v>
      </c>
      <c r="AN151" s="6">
        <v>7062</v>
      </c>
      <c r="AO151" s="6">
        <v>7393</v>
      </c>
      <c r="AP151" s="6">
        <v>6443</v>
      </c>
      <c r="AQ151" s="6">
        <v>6526</v>
      </c>
      <c r="AR151" s="6">
        <v>6554</v>
      </c>
      <c r="AS151" s="6">
        <v>6157</v>
      </c>
      <c r="AT151" s="6">
        <v>6903</v>
      </c>
      <c r="AU151" s="6">
        <v>6743</v>
      </c>
      <c r="AV151" s="6">
        <v>6809</v>
      </c>
      <c r="AW151" s="6">
        <v>6995</v>
      </c>
      <c r="AX151" s="6">
        <v>6910</v>
      </c>
      <c r="AY151" s="6">
        <v>7141</v>
      </c>
      <c r="AZ151" s="6">
        <v>7167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</row>
    <row r="152" spans="1:65" s="10" customFormat="1" hidden="1" x14ac:dyDescent="0.25">
      <c r="A152" s="8">
        <v>114</v>
      </c>
      <c r="B152" s="1">
        <f>VLOOKUP(E152,'[2]Peajes (1)'!$A:$D,4,0)</f>
        <v>3860</v>
      </c>
      <c r="C152" s="8" t="s">
        <v>175</v>
      </c>
      <c r="D152" s="8" t="s">
        <v>176</v>
      </c>
      <c r="E152" s="8" t="s">
        <v>30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7267</v>
      </c>
      <c r="BB152" s="6">
        <v>6712</v>
      </c>
      <c r="BC152" s="6">
        <v>6497</v>
      </c>
      <c r="BD152" s="6">
        <v>6258</v>
      </c>
      <c r="BE152" s="6">
        <v>6220</v>
      </c>
      <c r="BF152" s="6">
        <v>5627</v>
      </c>
      <c r="BG152" s="6">
        <v>5477</v>
      </c>
      <c r="BH152" s="6">
        <v>5819</v>
      </c>
      <c r="BI152" s="6">
        <v>4441</v>
      </c>
      <c r="BJ152" s="6">
        <v>4037</v>
      </c>
      <c r="BK152" s="6">
        <v>4690</v>
      </c>
      <c r="BL152" s="6">
        <v>5073</v>
      </c>
      <c r="BM152" s="6">
        <v>4812</v>
      </c>
    </row>
    <row r="153" spans="1:65" s="10" customFormat="1" x14ac:dyDescent="0.25">
      <c r="A153" s="8">
        <v>114</v>
      </c>
      <c r="B153" s="1">
        <f>VLOOKUP(E153,'[2]Peajes (1)'!$A:$D,4,0)</f>
        <v>3860</v>
      </c>
      <c r="C153" s="8" t="s">
        <v>175</v>
      </c>
      <c r="D153" s="8" t="s">
        <v>176</v>
      </c>
      <c r="E153" s="8" t="s">
        <v>30</v>
      </c>
      <c r="F153" s="6">
        <f>SUM(F151:F152)</f>
        <v>0</v>
      </c>
      <c r="G153" s="6">
        <f t="shared" ref="G153:BM153" si="12">SUM(G151:G152)</f>
        <v>0</v>
      </c>
      <c r="H153" s="6">
        <f t="shared" si="12"/>
        <v>0</v>
      </c>
      <c r="I153" s="6">
        <f t="shared" si="12"/>
        <v>0</v>
      </c>
      <c r="J153" s="6">
        <f t="shared" si="12"/>
        <v>0</v>
      </c>
      <c r="K153" s="6">
        <f t="shared" si="12"/>
        <v>0</v>
      </c>
      <c r="L153" s="6">
        <f t="shared" si="12"/>
        <v>0</v>
      </c>
      <c r="M153" s="6">
        <f t="shared" si="12"/>
        <v>0</v>
      </c>
      <c r="N153" s="6">
        <f t="shared" si="12"/>
        <v>0</v>
      </c>
      <c r="O153" s="6">
        <f t="shared" si="12"/>
        <v>0</v>
      </c>
      <c r="P153" s="6">
        <f t="shared" si="12"/>
        <v>0</v>
      </c>
      <c r="Q153" s="6">
        <f t="shared" si="12"/>
        <v>0</v>
      </c>
      <c r="R153" s="6">
        <f t="shared" si="12"/>
        <v>0</v>
      </c>
      <c r="S153" s="6">
        <f t="shared" si="12"/>
        <v>0</v>
      </c>
      <c r="T153" s="6">
        <f t="shared" si="12"/>
        <v>0</v>
      </c>
      <c r="U153" s="6">
        <f t="shared" si="12"/>
        <v>0</v>
      </c>
      <c r="V153" s="6">
        <f t="shared" si="12"/>
        <v>0</v>
      </c>
      <c r="W153" s="6">
        <f t="shared" si="12"/>
        <v>0</v>
      </c>
      <c r="X153" s="6">
        <f t="shared" si="12"/>
        <v>0</v>
      </c>
      <c r="Y153" s="6">
        <f t="shared" si="12"/>
        <v>0</v>
      </c>
      <c r="Z153" s="6">
        <f t="shared" si="12"/>
        <v>0</v>
      </c>
      <c r="AA153" s="6">
        <f t="shared" si="12"/>
        <v>0</v>
      </c>
      <c r="AB153" s="6">
        <f t="shared" si="12"/>
        <v>0</v>
      </c>
      <c r="AC153" s="6">
        <f t="shared" si="12"/>
        <v>0</v>
      </c>
      <c r="AD153" s="6">
        <f t="shared" si="12"/>
        <v>6918</v>
      </c>
      <c r="AE153" s="6">
        <f t="shared" si="12"/>
        <v>7898</v>
      </c>
      <c r="AF153" s="6">
        <f t="shared" si="12"/>
        <v>8454</v>
      </c>
      <c r="AG153" s="6">
        <f t="shared" si="12"/>
        <v>7808</v>
      </c>
      <c r="AH153" s="6">
        <f t="shared" si="12"/>
        <v>7005</v>
      </c>
      <c r="AI153" s="6">
        <f t="shared" si="12"/>
        <v>6104</v>
      </c>
      <c r="AJ153" s="6">
        <f t="shared" si="12"/>
        <v>6307</v>
      </c>
      <c r="AK153" s="6">
        <f t="shared" si="12"/>
        <v>8184</v>
      </c>
      <c r="AL153" s="6">
        <f t="shared" si="12"/>
        <v>5835</v>
      </c>
      <c r="AM153" s="6">
        <f t="shared" si="12"/>
        <v>6378</v>
      </c>
      <c r="AN153" s="6">
        <f t="shared" si="12"/>
        <v>7062</v>
      </c>
      <c r="AO153" s="6">
        <f t="shared" si="12"/>
        <v>7393</v>
      </c>
      <c r="AP153" s="6">
        <f t="shared" si="12"/>
        <v>6443</v>
      </c>
      <c r="AQ153" s="6">
        <f t="shared" si="12"/>
        <v>6526</v>
      </c>
      <c r="AR153" s="6">
        <f t="shared" si="12"/>
        <v>6554</v>
      </c>
      <c r="AS153" s="6">
        <f t="shared" si="12"/>
        <v>6157</v>
      </c>
      <c r="AT153" s="6">
        <f t="shared" si="12"/>
        <v>6903</v>
      </c>
      <c r="AU153" s="6">
        <f t="shared" si="12"/>
        <v>6743</v>
      </c>
      <c r="AV153" s="6">
        <f t="shared" si="12"/>
        <v>6809</v>
      </c>
      <c r="AW153" s="6">
        <f t="shared" si="12"/>
        <v>6995</v>
      </c>
      <c r="AX153" s="6">
        <f t="shared" si="12"/>
        <v>6910</v>
      </c>
      <c r="AY153" s="6">
        <f t="shared" si="12"/>
        <v>7141</v>
      </c>
      <c r="AZ153" s="6">
        <f t="shared" si="12"/>
        <v>7167</v>
      </c>
      <c r="BA153" s="6">
        <f t="shared" si="12"/>
        <v>7267</v>
      </c>
      <c r="BB153" s="6">
        <f t="shared" si="12"/>
        <v>6712</v>
      </c>
      <c r="BC153" s="6">
        <f t="shared" si="12"/>
        <v>6497</v>
      </c>
      <c r="BD153" s="6">
        <f t="shared" si="12"/>
        <v>6258</v>
      </c>
      <c r="BE153" s="6">
        <f t="shared" si="12"/>
        <v>6220</v>
      </c>
      <c r="BF153" s="6">
        <f t="shared" si="12"/>
        <v>5627</v>
      </c>
      <c r="BG153" s="6">
        <f t="shared" si="12"/>
        <v>5477</v>
      </c>
      <c r="BH153" s="6">
        <f t="shared" si="12"/>
        <v>5819</v>
      </c>
      <c r="BI153" s="6">
        <f t="shared" si="12"/>
        <v>4441</v>
      </c>
      <c r="BJ153" s="6">
        <f t="shared" si="12"/>
        <v>4037</v>
      </c>
      <c r="BK153" s="6">
        <f t="shared" si="12"/>
        <v>4690</v>
      </c>
      <c r="BL153" s="6">
        <f t="shared" si="12"/>
        <v>5073</v>
      </c>
      <c r="BM153" s="6">
        <f t="shared" si="12"/>
        <v>4812</v>
      </c>
    </row>
    <row r="154" spans="1:65" x14ac:dyDescent="0.25">
      <c r="A154" s="1">
        <v>90</v>
      </c>
      <c r="B154" s="1">
        <f>VLOOKUP(E154,'[2]Peajes (1)'!$A:$D,4,0)</f>
        <v>3798</v>
      </c>
      <c r="C154" s="3" t="s">
        <v>121</v>
      </c>
      <c r="D154" s="3" t="s">
        <v>122</v>
      </c>
      <c r="E154" s="3" t="s">
        <v>128</v>
      </c>
      <c r="F154" s="6">
        <v>101634</v>
      </c>
      <c r="G154" s="6">
        <v>80993</v>
      </c>
      <c r="H154" s="6">
        <v>86618</v>
      </c>
      <c r="I154" s="6">
        <v>91540</v>
      </c>
      <c r="J154" s="6">
        <v>88643</v>
      </c>
      <c r="K154" s="6">
        <v>87199</v>
      </c>
      <c r="L154" s="6">
        <v>92021</v>
      </c>
      <c r="M154" s="6">
        <v>90786</v>
      </c>
      <c r="N154" s="6">
        <v>84492</v>
      </c>
      <c r="O154" s="6">
        <v>90334</v>
      </c>
      <c r="P154" s="6">
        <v>89733</v>
      </c>
      <c r="Q154" s="6">
        <v>103454</v>
      </c>
      <c r="R154" s="6">
        <v>102721</v>
      </c>
      <c r="S154" s="6">
        <v>82528</v>
      </c>
      <c r="T154" s="6">
        <v>92944</v>
      </c>
      <c r="U154" s="6">
        <v>98505</v>
      </c>
      <c r="V154" s="6">
        <v>99318</v>
      </c>
      <c r="W154" s="6">
        <v>97924</v>
      </c>
      <c r="X154" s="6">
        <v>103004</v>
      </c>
      <c r="Y154" s="6">
        <v>98120</v>
      </c>
      <c r="Z154" s="6">
        <v>89966</v>
      </c>
      <c r="AA154" s="6">
        <v>98832</v>
      </c>
      <c r="AB154" s="6">
        <v>95657</v>
      </c>
      <c r="AC154" s="6">
        <v>115201</v>
      </c>
      <c r="AD154" s="6">
        <v>112179</v>
      </c>
      <c r="AE154" s="6">
        <v>88418</v>
      </c>
      <c r="AF154" s="6">
        <v>100468</v>
      </c>
      <c r="AG154" s="6">
        <v>94017</v>
      </c>
      <c r="AH154" s="6">
        <v>96844</v>
      </c>
      <c r="AI154" s="6">
        <v>94989</v>
      </c>
      <c r="AJ154" s="6">
        <v>102373</v>
      </c>
      <c r="AK154" s="6">
        <v>98478</v>
      </c>
      <c r="AL154" s="6">
        <v>92839</v>
      </c>
      <c r="AM154" s="6">
        <v>99347</v>
      </c>
      <c r="AN154" s="6">
        <v>97008</v>
      </c>
      <c r="AO154" s="6">
        <v>115633</v>
      </c>
      <c r="AP154" s="6">
        <v>112258</v>
      </c>
      <c r="AQ154" s="6">
        <v>87459</v>
      </c>
      <c r="AR154" s="6">
        <v>95134</v>
      </c>
      <c r="AS154" s="6">
        <v>107777</v>
      </c>
      <c r="AT154" s="6">
        <v>99549</v>
      </c>
      <c r="AU154" s="6">
        <v>97907</v>
      </c>
      <c r="AV154" s="6">
        <v>100123</v>
      </c>
      <c r="AW154" s="6">
        <v>97247</v>
      </c>
      <c r="AX154" s="6">
        <v>91254</v>
      </c>
      <c r="AY154" s="6">
        <v>98391</v>
      </c>
      <c r="AZ154" s="6">
        <v>96151</v>
      </c>
      <c r="BA154" s="6">
        <v>117312</v>
      </c>
      <c r="BB154" s="6">
        <v>114506</v>
      </c>
      <c r="BC154" s="6">
        <v>86696</v>
      </c>
      <c r="BD154" s="6">
        <v>102437</v>
      </c>
      <c r="BE154" s="6">
        <v>105465</v>
      </c>
      <c r="BF154" s="6">
        <v>99249</v>
      </c>
      <c r="BG154" s="6">
        <v>100226</v>
      </c>
      <c r="BH154" s="6">
        <v>105625</v>
      </c>
      <c r="BI154" s="6">
        <v>100389</v>
      </c>
      <c r="BJ154" s="6">
        <v>94410</v>
      </c>
      <c r="BK154" s="6">
        <v>102661</v>
      </c>
      <c r="BL154" s="6">
        <v>101740</v>
      </c>
      <c r="BM154" s="6">
        <v>120647</v>
      </c>
    </row>
    <row r="155" spans="1:65" s="10" customFormat="1" hidden="1" x14ac:dyDescent="0.25">
      <c r="A155" s="8">
        <v>30</v>
      </c>
      <c r="B155" s="1">
        <f>VLOOKUP(E155,'[2]Peajes (1)'!$A:$D,4,0)</f>
        <v>3842</v>
      </c>
      <c r="C155" s="8" t="s">
        <v>41</v>
      </c>
      <c r="D155" s="8" t="s">
        <v>42</v>
      </c>
      <c r="E155" s="8" t="s">
        <v>47</v>
      </c>
      <c r="F155" s="6">
        <v>120199</v>
      </c>
      <c r="G155" s="6">
        <v>89806</v>
      </c>
      <c r="H155" s="6">
        <v>96360</v>
      </c>
      <c r="I155" s="6">
        <v>96731</v>
      </c>
      <c r="J155" s="6">
        <v>97529</v>
      </c>
      <c r="K155" s="6">
        <v>92309</v>
      </c>
      <c r="L155" s="6">
        <v>98616</v>
      </c>
      <c r="M155" s="6">
        <v>101935</v>
      </c>
      <c r="N155" s="6">
        <v>96555</v>
      </c>
      <c r="O155" s="6">
        <v>99514</v>
      </c>
      <c r="P155" s="6">
        <v>93533</v>
      </c>
      <c r="Q155" s="6">
        <v>111558</v>
      </c>
      <c r="R155" s="6">
        <v>117402</v>
      </c>
      <c r="S155" s="6">
        <v>83298</v>
      </c>
      <c r="T155" s="6">
        <v>93787</v>
      </c>
      <c r="U155" s="6">
        <v>91635</v>
      </c>
      <c r="V155" s="6">
        <v>90448</v>
      </c>
      <c r="W155" s="6">
        <v>94043</v>
      </c>
      <c r="X155" s="6">
        <v>106313</v>
      </c>
      <c r="Y155" s="6">
        <v>101465</v>
      </c>
      <c r="Z155" s="6">
        <v>26120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</row>
    <row r="156" spans="1:65" s="10" customFormat="1" hidden="1" x14ac:dyDescent="0.25">
      <c r="A156" s="8">
        <v>151</v>
      </c>
      <c r="B156" s="1">
        <f>VLOOKUP(E156,'[2]Peajes (1)'!$A:$D,4,0)</f>
        <v>3842</v>
      </c>
      <c r="C156" s="8" t="s">
        <v>225</v>
      </c>
      <c r="D156" s="8" t="s">
        <v>226</v>
      </c>
      <c r="E156" s="8" t="s">
        <v>47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71208</v>
      </c>
      <c r="AA156" s="6">
        <v>100138</v>
      </c>
      <c r="AB156" s="6">
        <v>95244</v>
      </c>
      <c r="AC156" s="6">
        <v>113009</v>
      </c>
      <c r="AD156" s="6">
        <v>122715</v>
      </c>
      <c r="AE156" s="6">
        <v>85834</v>
      </c>
      <c r="AF156" s="6">
        <v>97087</v>
      </c>
      <c r="AG156" s="6">
        <v>83956</v>
      </c>
      <c r="AH156" s="6">
        <v>85356</v>
      </c>
      <c r="AI156" s="6">
        <v>86725</v>
      </c>
      <c r="AJ156" s="6">
        <v>89109</v>
      </c>
      <c r="AK156" s="6">
        <v>90817</v>
      </c>
      <c r="AL156" s="6">
        <v>87291</v>
      </c>
      <c r="AM156" s="6">
        <v>92137</v>
      </c>
      <c r="AN156" s="6">
        <v>88134</v>
      </c>
      <c r="AO156" s="6">
        <v>105451</v>
      </c>
      <c r="AP156" s="6">
        <v>113324</v>
      </c>
      <c r="AQ156" s="6">
        <v>83465</v>
      </c>
      <c r="AR156" s="6">
        <v>92038</v>
      </c>
      <c r="AS156" s="6">
        <v>92595</v>
      </c>
      <c r="AT156" s="6">
        <v>91172</v>
      </c>
      <c r="AU156" s="6">
        <v>91912</v>
      </c>
      <c r="AV156" s="6">
        <v>90843</v>
      </c>
      <c r="AW156" s="6">
        <v>100500</v>
      </c>
      <c r="AX156" s="6">
        <v>95723</v>
      </c>
      <c r="AY156" s="6">
        <v>94862</v>
      </c>
      <c r="AZ156" s="6">
        <v>91045</v>
      </c>
      <c r="BA156" s="6">
        <v>111449</v>
      </c>
      <c r="BB156" s="6">
        <v>114198</v>
      </c>
      <c r="BC156" s="6">
        <v>82852</v>
      </c>
      <c r="BD156" s="6">
        <v>96216</v>
      </c>
      <c r="BE156" s="6">
        <v>87725</v>
      </c>
      <c r="BF156" s="6">
        <v>87860</v>
      </c>
      <c r="BG156" s="6">
        <v>87651</v>
      </c>
      <c r="BH156" s="6">
        <v>93455</v>
      </c>
      <c r="BI156" s="6">
        <v>94608</v>
      </c>
      <c r="BJ156" s="6">
        <v>86175</v>
      </c>
      <c r="BK156" s="6">
        <v>93941</v>
      </c>
      <c r="BL156" s="6">
        <v>90363</v>
      </c>
      <c r="BM156" s="6">
        <v>108649</v>
      </c>
    </row>
    <row r="157" spans="1:65" s="10" customFormat="1" x14ac:dyDescent="0.25">
      <c r="A157" s="8">
        <v>151</v>
      </c>
      <c r="B157" s="1">
        <f>VLOOKUP(E157,'[2]Peajes (1)'!$A:$D,4,0)</f>
        <v>3842</v>
      </c>
      <c r="C157" s="8" t="s">
        <v>225</v>
      </c>
      <c r="D157" s="8" t="s">
        <v>226</v>
      </c>
      <c r="E157" s="8" t="s">
        <v>47</v>
      </c>
      <c r="F157" s="6">
        <f>SUM(F155:F156)</f>
        <v>120199</v>
      </c>
      <c r="G157" s="6">
        <f t="shared" ref="G157:BM157" si="13">SUM(G155:G156)</f>
        <v>89806</v>
      </c>
      <c r="H157" s="6">
        <f t="shared" si="13"/>
        <v>96360</v>
      </c>
      <c r="I157" s="6">
        <f t="shared" si="13"/>
        <v>96731</v>
      </c>
      <c r="J157" s="6">
        <f t="shared" si="13"/>
        <v>97529</v>
      </c>
      <c r="K157" s="6">
        <f t="shared" si="13"/>
        <v>92309</v>
      </c>
      <c r="L157" s="6">
        <f t="shared" si="13"/>
        <v>98616</v>
      </c>
      <c r="M157" s="6">
        <f t="shared" si="13"/>
        <v>101935</v>
      </c>
      <c r="N157" s="6">
        <f t="shared" si="13"/>
        <v>96555</v>
      </c>
      <c r="O157" s="6">
        <f t="shared" si="13"/>
        <v>99514</v>
      </c>
      <c r="P157" s="6">
        <f t="shared" si="13"/>
        <v>93533</v>
      </c>
      <c r="Q157" s="6">
        <f t="shared" si="13"/>
        <v>111558</v>
      </c>
      <c r="R157" s="6">
        <f t="shared" si="13"/>
        <v>117402</v>
      </c>
      <c r="S157" s="6">
        <f t="shared" si="13"/>
        <v>83298</v>
      </c>
      <c r="T157" s="6">
        <f t="shared" si="13"/>
        <v>93787</v>
      </c>
      <c r="U157" s="6">
        <f t="shared" si="13"/>
        <v>91635</v>
      </c>
      <c r="V157" s="6">
        <f t="shared" si="13"/>
        <v>90448</v>
      </c>
      <c r="W157" s="6">
        <f t="shared" si="13"/>
        <v>94043</v>
      </c>
      <c r="X157" s="6">
        <f t="shared" si="13"/>
        <v>106313</v>
      </c>
      <c r="Y157" s="6">
        <f t="shared" si="13"/>
        <v>101465</v>
      </c>
      <c r="Z157" s="6">
        <f t="shared" si="13"/>
        <v>97328</v>
      </c>
      <c r="AA157" s="6">
        <f t="shared" si="13"/>
        <v>100138</v>
      </c>
      <c r="AB157" s="6">
        <f t="shared" si="13"/>
        <v>95244</v>
      </c>
      <c r="AC157" s="6">
        <f t="shared" si="13"/>
        <v>113009</v>
      </c>
      <c r="AD157" s="6">
        <f t="shared" si="13"/>
        <v>122715</v>
      </c>
      <c r="AE157" s="6">
        <f t="shared" si="13"/>
        <v>85834</v>
      </c>
      <c r="AF157" s="6">
        <f t="shared" si="13"/>
        <v>97087</v>
      </c>
      <c r="AG157" s="6">
        <f t="shared" si="13"/>
        <v>83956</v>
      </c>
      <c r="AH157" s="6">
        <f t="shared" si="13"/>
        <v>85356</v>
      </c>
      <c r="AI157" s="6">
        <f t="shared" si="13"/>
        <v>86725</v>
      </c>
      <c r="AJ157" s="6">
        <f t="shared" si="13"/>
        <v>89109</v>
      </c>
      <c r="AK157" s="6">
        <f t="shared" si="13"/>
        <v>90817</v>
      </c>
      <c r="AL157" s="6">
        <f t="shared" si="13"/>
        <v>87291</v>
      </c>
      <c r="AM157" s="6">
        <f t="shared" si="13"/>
        <v>92137</v>
      </c>
      <c r="AN157" s="6">
        <f t="shared" si="13"/>
        <v>88134</v>
      </c>
      <c r="AO157" s="6">
        <f t="shared" si="13"/>
        <v>105451</v>
      </c>
      <c r="AP157" s="6">
        <f t="shared" si="13"/>
        <v>113324</v>
      </c>
      <c r="AQ157" s="6">
        <f t="shared" si="13"/>
        <v>83465</v>
      </c>
      <c r="AR157" s="6">
        <f t="shared" si="13"/>
        <v>92038</v>
      </c>
      <c r="AS157" s="6">
        <f t="shared" si="13"/>
        <v>92595</v>
      </c>
      <c r="AT157" s="6">
        <f t="shared" si="13"/>
        <v>91172</v>
      </c>
      <c r="AU157" s="6">
        <f t="shared" si="13"/>
        <v>91912</v>
      </c>
      <c r="AV157" s="6">
        <f t="shared" si="13"/>
        <v>90843</v>
      </c>
      <c r="AW157" s="6">
        <f t="shared" si="13"/>
        <v>100500</v>
      </c>
      <c r="AX157" s="6">
        <f t="shared" si="13"/>
        <v>95723</v>
      </c>
      <c r="AY157" s="6">
        <f t="shared" si="13"/>
        <v>94862</v>
      </c>
      <c r="AZ157" s="6">
        <f t="shared" si="13"/>
        <v>91045</v>
      </c>
      <c r="BA157" s="6">
        <f t="shared" si="13"/>
        <v>111449</v>
      </c>
      <c r="BB157" s="6">
        <f t="shared" si="13"/>
        <v>114198</v>
      </c>
      <c r="BC157" s="6">
        <f t="shared" si="13"/>
        <v>82852</v>
      </c>
      <c r="BD157" s="6">
        <f t="shared" si="13"/>
        <v>96216</v>
      </c>
      <c r="BE157" s="6">
        <f t="shared" si="13"/>
        <v>87725</v>
      </c>
      <c r="BF157" s="6">
        <f t="shared" si="13"/>
        <v>87860</v>
      </c>
      <c r="BG157" s="6">
        <f t="shared" si="13"/>
        <v>87651</v>
      </c>
      <c r="BH157" s="6">
        <f t="shared" si="13"/>
        <v>93455</v>
      </c>
      <c r="BI157" s="6">
        <f t="shared" si="13"/>
        <v>94608</v>
      </c>
      <c r="BJ157" s="6">
        <f t="shared" si="13"/>
        <v>86175</v>
      </c>
      <c r="BK157" s="6">
        <f t="shared" si="13"/>
        <v>93941</v>
      </c>
      <c r="BL157" s="6">
        <f t="shared" si="13"/>
        <v>90363</v>
      </c>
      <c r="BM157" s="6">
        <f t="shared" si="13"/>
        <v>108649</v>
      </c>
    </row>
    <row r="158" spans="1:65" ht="13.5" customHeight="1" x14ac:dyDescent="0.25">
      <c r="A158" s="1">
        <v>98</v>
      </c>
      <c r="B158" s="1">
        <f>VLOOKUP(E158,'[2]Peajes (1)'!$A:$D,4,0)</f>
        <v>3856</v>
      </c>
      <c r="C158" s="3" t="s">
        <v>143</v>
      </c>
      <c r="D158" s="3" t="s">
        <v>144</v>
      </c>
      <c r="E158" s="3" t="s">
        <v>250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150867</v>
      </c>
      <c r="Q158" s="6">
        <v>189327</v>
      </c>
      <c r="R158" s="6">
        <v>195852</v>
      </c>
      <c r="S158" s="6">
        <v>128239</v>
      </c>
      <c r="T158" s="6">
        <v>140735</v>
      </c>
      <c r="U158" s="6">
        <v>157031</v>
      </c>
      <c r="V158" s="6">
        <v>150568</v>
      </c>
      <c r="W158" s="6">
        <v>181337</v>
      </c>
      <c r="X158" s="6">
        <v>167193</v>
      </c>
      <c r="Y158" s="6">
        <v>171187</v>
      </c>
      <c r="Z158" s="6">
        <v>147561</v>
      </c>
      <c r="AA158" s="6">
        <v>168117</v>
      </c>
      <c r="AB158" s="6">
        <v>163579</v>
      </c>
      <c r="AC158" s="6">
        <v>202618</v>
      </c>
      <c r="AD158" s="6">
        <v>209178</v>
      </c>
      <c r="AE158" s="6">
        <v>136130</v>
      </c>
      <c r="AF158" s="6">
        <v>170204</v>
      </c>
      <c r="AG158" s="6">
        <v>121431</v>
      </c>
      <c r="AH158" s="6">
        <v>150072</v>
      </c>
      <c r="AI158" s="6">
        <v>137829</v>
      </c>
      <c r="AJ158" s="6">
        <v>145076</v>
      </c>
      <c r="AK158" s="6">
        <v>141061</v>
      </c>
      <c r="AL158" s="6">
        <v>119460</v>
      </c>
      <c r="AM158" s="6">
        <v>146553</v>
      </c>
      <c r="AN158" s="6">
        <v>158726</v>
      </c>
      <c r="AO158" s="6">
        <v>196501</v>
      </c>
      <c r="AP158" s="6">
        <v>209023</v>
      </c>
      <c r="AQ158" s="6">
        <v>140363</v>
      </c>
      <c r="AR158" s="6">
        <v>153830</v>
      </c>
      <c r="AS158" s="6">
        <v>174486</v>
      </c>
      <c r="AT158" s="6">
        <v>153825</v>
      </c>
      <c r="AU158" s="6">
        <v>174231</v>
      </c>
      <c r="AV158" s="6">
        <v>177202</v>
      </c>
      <c r="AW158" s="6">
        <v>175052</v>
      </c>
      <c r="AX158" s="6">
        <v>155386</v>
      </c>
      <c r="AY158" s="6">
        <v>174389</v>
      </c>
      <c r="AZ158" s="6">
        <v>166653</v>
      </c>
      <c r="BA158" s="6">
        <v>209504</v>
      </c>
      <c r="BB158" s="6">
        <v>208437</v>
      </c>
      <c r="BC158" s="6">
        <v>138205</v>
      </c>
      <c r="BD158" s="6">
        <v>177809</v>
      </c>
      <c r="BE158" s="6">
        <v>159993</v>
      </c>
      <c r="BF158" s="6">
        <v>167315</v>
      </c>
      <c r="BG158" s="6">
        <v>177063</v>
      </c>
      <c r="BH158" s="6">
        <v>189962</v>
      </c>
      <c r="BI158" s="6">
        <v>183690</v>
      </c>
      <c r="BJ158" s="6">
        <v>154854</v>
      </c>
      <c r="BK158" s="6">
        <v>175992</v>
      </c>
      <c r="BL158" s="6">
        <v>169323</v>
      </c>
      <c r="BM158" s="6">
        <v>206170</v>
      </c>
    </row>
    <row r="159" spans="1:65" x14ac:dyDescent="0.25">
      <c r="A159" s="1">
        <v>46</v>
      </c>
      <c r="B159" s="1">
        <f>VLOOKUP(E159,'[2]Peajes (1)'!$A:$D,4,0)</f>
        <v>5607</v>
      </c>
      <c r="C159" s="3" t="s">
        <v>59</v>
      </c>
      <c r="D159" s="3" t="s">
        <v>60</v>
      </c>
      <c r="E159" s="3" t="s">
        <v>69</v>
      </c>
      <c r="F159" s="6">
        <v>285580</v>
      </c>
      <c r="G159" s="6">
        <v>233690</v>
      </c>
      <c r="H159" s="6">
        <v>253082</v>
      </c>
      <c r="I159" s="6">
        <v>273353</v>
      </c>
      <c r="J159" s="6">
        <v>248706</v>
      </c>
      <c r="K159" s="6">
        <v>255449</v>
      </c>
      <c r="L159" s="6">
        <v>278121</v>
      </c>
      <c r="M159" s="6">
        <v>273829</v>
      </c>
      <c r="N159" s="6">
        <v>254879</v>
      </c>
      <c r="O159" s="6">
        <v>273377</v>
      </c>
      <c r="P159" s="6">
        <v>267641</v>
      </c>
      <c r="Q159" s="6">
        <v>311833</v>
      </c>
      <c r="R159" s="6">
        <v>302769</v>
      </c>
      <c r="S159" s="6">
        <v>241482</v>
      </c>
      <c r="T159" s="6">
        <v>266307</v>
      </c>
      <c r="U159" s="6">
        <v>288133</v>
      </c>
      <c r="V159" s="6">
        <v>280441</v>
      </c>
      <c r="W159" s="6">
        <v>281887</v>
      </c>
      <c r="X159" s="6">
        <v>298834</v>
      </c>
      <c r="Y159" s="6">
        <v>296260</v>
      </c>
      <c r="Z159" s="6">
        <v>275597</v>
      </c>
      <c r="AA159" s="6">
        <v>291270</v>
      </c>
      <c r="AB159" s="6">
        <v>288297</v>
      </c>
      <c r="AC159" s="6">
        <v>339700</v>
      </c>
      <c r="AD159" s="6">
        <v>330247</v>
      </c>
      <c r="AE159" s="6">
        <v>272409</v>
      </c>
      <c r="AF159" s="6">
        <v>321510</v>
      </c>
      <c r="AG159" s="6">
        <v>277106</v>
      </c>
      <c r="AH159" s="6">
        <v>295280</v>
      </c>
      <c r="AI159" s="6">
        <v>237760</v>
      </c>
      <c r="AJ159" s="6">
        <v>318263</v>
      </c>
      <c r="AK159" s="6">
        <v>330214</v>
      </c>
      <c r="AL159" s="6">
        <v>300347</v>
      </c>
      <c r="AM159" s="6">
        <v>316619</v>
      </c>
      <c r="AN159" s="6">
        <v>316328</v>
      </c>
      <c r="AO159" s="6">
        <v>364238</v>
      </c>
      <c r="AP159" s="6">
        <v>349529</v>
      </c>
      <c r="AQ159" s="6">
        <v>272835</v>
      </c>
      <c r="AR159" s="6">
        <v>300226</v>
      </c>
      <c r="AS159" s="6">
        <v>323431</v>
      </c>
      <c r="AT159" s="6">
        <v>306681</v>
      </c>
      <c r="AU159" s="6">
        <v>314306</v>
      </c>
      <c r="AV159" s="6">
        <v>340781</v>
      </c>
      <c r="AW159" s="6">
        <v>334305</v>
      </c>
      <c r="AX159" s="6">
        <v>307671</v>
      </c>
      <c r="AY159" s="6">
        <v>316187</v>
      </c>
      <c r="AZ159" s="6">
        <v>276017</v>
      </c>
      <c r="BA159" s="6">
        <v>375138</v>
      </c>
      <c r="BB159" s="6">
        <v>362643</v>
      </c>
      <c r="BC159" s="6">
        <v>280022</v>
      </c>
      <c r="BD159" s="6">
        <v>343165</v>
      </c>
      <c r="BE159" s="6">
        <v>317608</v>
      </c>
      <c r="BF159" s="6">
        <v>315641</v>
      </c>
      <c r="BG159" s="6">
        <v>322113</v>
      </c>
      <c r="BH159" s="6">
        <v>351726</v>
      </c>
      <c r="BI159" s="6">
        <v>341067</v>
      </c>
      <c r="BJ159" s="6">
        <v>320338</v>
      </c>
      <c r="BK159" s="6">
        <v>342988</v>
      </c>
      <c r="BL159" s="6">
        <v>0</v>
      </c>
      <c r="BM159" s="6">
        <v>0</v>
      </c>
    </row>
    <row r="160" spans="1:65" x14ac:dyDescent="0.25">
      <c r="A160" s="1">
        <v>84</v>
      </c>
      <c r="B160" s="1">
        <f>VLOOKUP(E160,'[2]Peajes (1)'!$A:$D,4,0)</f>
        <v>3920</v>
      </c>
      <c r="C160" s="3" t="s">
        <v>112</v>
      </c>
      <c r="D160" s="3" t="s">
        <v>113</v>
      </c>
      <c r="E160" s="3" t="s">
        <v>120</v>
      </c>
      <c r="F160" s="6">
        <v>147292</v>
      </c>
      <c r="G160" s="6">
        <v>93141</v>
      </c>
      <c r="H160" s="6">
        <v>99991</v>
      </c>
      <c r="I160" s="6">
        <v>117580</v>
      </c>
      <c r="J160" s="6">
        <v>69804</v>
      </c>
      <c r="K160" s="6">
        <v>106235</v>
      </c>
      <c r="L160" s="6">
        <v>118967</v>
      </c>
      <c r="M160" s="6">
        <v>109063</v>
      </c>
      <c r="N160" s="6">
        <v>106212</v>
      </c>
      <c r="O160" s="6">
        <v>120191</v>
      </c>
      <c r="P160" s="6">
        <v>104540</v>
      </c>
      <c r="Q160" s="6">
        <v>138999</v>
      </c>
      <c r="R160" s="6">
        <v>149528</v>
      </c>
      <c r="S160" s="6">
        <v>101682</v>
      </c>
      <c r="T160" s="6">
        <v>112376</v>
      </c>
      <c r="U160" s="6">
        <v>112480</v>
      </c>
      <c r="V160" s="6">
        <v>109058</v>
      </c>
      <c r="W160" s="6">
        <v>114380</v>
      </c>
      <c r="X160" s="6">
        <v>126068</v>
      </c>
      <c r="Y160" s="6">
        <v>123303</v>
      </c>
      <c r="Z160" s="6">
        <v>119827</v>
      </c>
      <c r="AA160" s="6">
        <v>127886</v>
      </c>
      <c r="AB160" s="6">
        <v>122247</v>
      </c>
      <c r="AC160" s="6">
        <v>152478</v>
      </c>
      <c r="AD160" s="6">
        <v>169766</v>
      </c>
      <c r="AE160" s="6">
        <v>105671</v>
      </c>
      <c r="AF160" s="6">
        <v>125325</v>
      </c>
      <c r="AG160" s="6">
        <v>108724</v>
      </c>
      <c r="AH160" s="6">
        <v>108422</v>
      </c>
      <c r="AI160" s="6">
        <v>116855</v>
      </c>
      <c r="AJ160" s="6">
        <v>115016</v>
      </c>
      <c r="AK160" s="6">
        <v>120791</v>
      </c>
      <c r="AL160" s="6">
        <v>117151</v>
      </c>
      <c r="AM160" s="6">
        <v>128699</v>
      </c>
      <c r="AN160" s="6">
        <v>118375</v>
      </c>
      <c r="AO160" s="6">
        <v>151874</v>
      </c>
      <c r="AP160" s="6">
        <v>173920</v>
      </c>
      <c r="AQ160" s="6">
        <v>100372</v>
      </c>
      <c r="AR160" s="6">
        <v>106696</v>
      </c>
      <c r="AS160" s="6">
        <v>121150</v>
      </c>
      <c r="AT160" s="6">
        <v>103909</v>
      </c>
      <c r="AU160" s="6">
        <v>114131</v>
      </c>
      <c r="AV160" s="6">
        <v>113283</v>
      </c>
      <c r="AW160" s="6">
        <v>111642</v>
      </c>
      <c r="AX160" s="6">
        <v>108440</v>
      </c>
      <c r="AY160" s="6">
        <v>78798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</row>
  </sheetData>
  <autoFilter ref="A1:BM160" xr:uid="{22FF7122-FF04-4E41-BED9-62A463150D32}">
    <sortState xmlns:xlrd2="http://schemas.microsoft.com/office/spreadsheetml/2017/richdata2" ref="A2:BM160">
      <sortCondition ref="E1:E160"/>
    </sortState>
  </autoFilter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1CCC481BCAFA44B2E2E6123212E2F0" ma:contentTypeVersion="6" ma:contentTypeDescription="Crear nuevo documento." ma:contentTypeScope="" ma:versionID="95d127bf77f0622f1c8a156eb4dbf3a3">
  <xsd:schema xmlns:xsd="http://www.w3.org/2001/XMLSchema" xmlns:xs="http://www.w3.org/2001/XMLSchema" xmlns:p="http://schemas.microsoft.com/office/2006/metadata/properties" xmlns:ns2="9dba50d4-6246-4b19-bd68-fd207cd489bd" targetNamespace="http://schemas.microsoft.com/office/2006/metadata/properties" ma:root="true" ma:fieldsID="adb57a1f397cbdeeb761f60eac3b952c" ns2:_="">
    <xsd:import namespace="9dba50d4-6246-4b19-bd68-fd207cd489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a50d4-6246-4b19-bd68-fd207cd48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603B80-6048-4EE6-8E93-357A6E66A0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a50d4-6246-4b19-bd68-fd207cd48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B7DED5-9E42-42F0-A74D-51BC9CC215C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dba50d4-6246-4b19-bd68-fd207cd489b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10E50C-5C20-42BB-817E-DACBE4051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 Trafico 2014-2018</vt:lpstr>
      <vt:lpstr>Tabla Recaudo 2014-2018</vt:lpstr>
      <vt:lpstr>Tabla Recaudo 2014-2018 final</vt:lpstr>
      <vt:lpstr>Tabla Trafico 2014-2018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Beyer Andres Gomez Vargas</dc:creator>
  <cp:lastModifiedBy>alejandro garcia</cp:lastModifiedBy>
  <dcterms:created xsi:type="dcterms:W3CDTF">2019-09-12T23:33:29Z</dcterms:created>
  <dcterms:modified xsi:type="dcterms:W3CDTF">2020-11-27T20:44:57Z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15533fad-cbd3-4f24-91a4-0c8655673bca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0x0101006D1CCC481BCAFA44B2E2E6123212E2F0</vt:lpwstr>
  </property>
</Properties>
</file>